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ar\Desktop\Archivos EST\"/>
    </mc:Choice>
  </mc:AlternateContent>
  <xr:revisionPtr revIDLastSave="0" documentId="8_{69EE4EAB-0DCF-4D49-9FAA-B9FBED038539}" xr6:coauthVersionLast="47" xr6:coauthVersionMax="47" xr10:uidLastSave="{00000000-0000-0000-0000-000000000000}"/>
  <bookViews>
    <workbookView xWindow="-120" yWindow="-120" windowWidth="29040" windowHeight="15360" xr2:uid="{31A3E693-0F04-43C8-98D2-4BC6480E4D7B}"/>
  </bookViews>
  <sheets>
    <sheet name="Resultados" sheetId="2" r:id="rId1"/>
    <sheet name="Hoja1" sheetId="1" r:id="rId2"/>
  </sheets>
  <definedNames>
    <definedName name="_xlchart.v1.0" hidden="1">'Resultados'!$A$2:$A$405</definedName>
    <definedName name="_xlchart.v1.1" hidden="1">'Resultados'!$A$2:$A$405</definedName>
    <definedName name="_xlchart.v1.2" hidden="1">'Resultados'!$A$2:$A$405</definedName>
    <definedName name="_xlchart.v1.3" hidden="1">'Resultados'!$B$2:$B$405</definedName>
    <definedName name="_xlchart.v1.4" hidden="1">'Resultados'!$B$2:$B$405</definedName>
    <definedName name="DatosExternos_1" localSheetId="0" hidden="1">'Resultados'!$A$1:$B$405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2" l="1"/>
  <c r="E29" i="2"/>
  <c r="E26" i="2"/>
  <c r="E28" i="2" s="1"/>
  <c r="E25" i="2"/>
  <c r="E24" i="2"/>
  <c r="E23" i="2"/>
  <c r="H7" i="2"/>
  <c r="H8" i="2" s="1"/>
  <c r="H6" i="2"/>
  <c r="H5" i="2"/>
  <c r="H4" i="2"/>
  <c r="H3" i="2"/>
  <c r="E7" i="2"/>
  <c r="E8" i="2" s="1"/>
  <c r="E6" i="2"/>
  <c r="E5" i="2"/>
  <c r="E4" i="2"/>
  <c r="E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F75721-3941-4245-A2F0-34FEAF8F9C5D}" keepAlive="1" name="Consulta - Resultados" description="Conexión a la consulta 'Resultados' en el libro." type="5" refreshedVersion="8" background="1" saveData="1">
    <dbPr connection="Provider=Microsoft.Mashup.OleDb.1;Data Source=$Workbook$;Location=Resultados;Extended Properties=&quot;&quot;" command="SELECT * FROM [Resultados]"/>
  </connection>
</connections>
</file>

<file path=xl/sharedStrings.xml><?xml version="1.0" encoding="utf-8"?>
<sst xmlns="http://schemas.openxmlformats.org/spreadsheetml/2006/main" count="25" uniqueCount="19">
  <si>
    <t>Mediana</t>
  </si>
  <si>
    <t>Mínimo</t>
  </si>
  <si>
    <t>Máximo</t>
  </si>
  <si>
    <t>Rango</t>
  </si>
  <si>
    <t>Q1</t>
  </si>
  <si>
    <t>Q2</t>
  </si>
  <si>
    <t>Q3</t>
  </si>
  <si>
    <t>RIC</t>
  </si>
  <si>
    <t>Outliers</t>
  </si>
  <si>
    <t>Media</t>
  </si>
  <si>
    <t>Tamanio</t>
  </si>
  <si>
    <t>Tiempo</t>
  </si>
  <si>
    <t>Variable Tiempo</t>
  </si>
  <si>
    <t>Desviación estándar</t>
  </si>
  <si>
    <t>Variable Tamaño</t>
  </si>
  <si>
    <t>LIM. INFERIOR</t>
  </si>
  <si>
    <t>LIM. SUPERIOR</t>
  </si>
  <si>
    <t>Precio</t>
  </si>
  <si>
    <t>COEFICIENTE DE CORRELACIÓN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</si>
</sst>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b/>
      <sz val="11"/>
      <color theme="0"/>
      <name val="Cascadia Code"/>
      <family val="3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1" fontId="1" fillId="3" borderId="2" xfId="0" applyNumberFormat="1" applyFont="1" applyFill="1" applyBorder="1" applyAlignment="1">
      <alignment horizontal="center" vertical="center"/>
    </xf>
    <xf numFmtId="2" fontId="1" fillId="0" borderId="3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9">
    <dxf>
      <fill>
        <patternFill>
          <bgColor rgb="FFFFCCCC"/>
        </patternFill>
      </fill>
    </dxf>
    <dxf>
      <font>
        <color auto="1"/>
      </font>
      <fill>
        <patternFill>
          <bgColor rgb="FFFFCC99"/>
        </patternFill>
      </fill>
    </dxf>
    <dxf>
      <font>
        <strike val="0"/>
        <outline val="0"/>
        <shadow val="0"/>
        <u val="none"/>
        <vertAlign val="baseline"/>
        <sz val="11"/>
        <name val="Cascadia Code"/>
        <family val="3"/>
        <scheme val="none"/>
      </font>
      <numFmt numFmtId="2" formatCode="0.00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name val="Cascadia Code"/>
        <family val="3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Cascadia Code"/>
        <family val="3"/>
        <scheme val="none"/>
      </font>
      <numFmt numFmtId="2" formatCode="0.00"/>
      <alignment horizontal="center" vertical="center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name val="Cascadia Code"/>
        <family val="3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colors>
    <mruColors>
      <color rgb="FFFFCCCC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9635931139638337E-3"/>
                  <c:y val="-6.86231898626827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5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Cascadia Code" panose="020B0609020000020004" pitchFamily="49" charset="0"/>
                      <a:ea typeface="Cascadia Code" panose="020B0609020000020004" pitchFamily="49" charset="0"/>
                      <a:cs typeface="Cascadia Code" panose="020B0609020000020004" pitchFamily="49" charset="0"/>
                    </a:defRPr>
                  </a:pPr>
                  <a:endParaRPr lang="es-ES"/>
                </a:p>
              </c:txPr>
            </c:trendlineLbl>
          </c:trendline>
          <c:xVal>
            <c:numRef>
              <c:f>'Resultados'!$A$2:$A$405</c:f>
              <c:numCache>
                <c:formatCode>0</c:formatCode>
                <c:ptCount val="40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105</c:v>
                </c:pt>
                <c:pt idx="101">
                  <c:v>110</c:v>
                </c:pt>
                <c:pt idx="102">
                  <c:v>115</c:v>
                </c:pt>
                <c:pt idx="103">
                  <c:v>120</c:v>
                </c:pt>
                <c:pt idx="104">
                  <c:v>125</c:v>
                </c:pt>
                <c:pt idx="105">
                  <c:v>130</c:v>
                </c:pt>
                <c:pt idx="106">
                  <c:v>135</c:v>
                </c:pt>
                <c:pt idx="107">
                  <c:v>140</c:v>
                </c:pt>
                <c:pt idx="108">
                  <c:v>145</c:v>
                </c:pt>
                <c:pt idx="109">
                  <c:v>150</c:v>
                </c:pt>
                <c:pt idx="110">
                  <c:v>155</c:v>
                </c:pt>
                <c:pt idx="111">
                  <c:v>160</c:v>
                </c:pt>
                <c:pt idx="112">
                  <c:v>165</c:v>
                </c:pt>
                <c:pt idx="113">
                  <c:v>170</c:v>
                </c:pt>
                <c:pt idx="114">
                  <c:v>175</c:v>
                </c:pt>
                <c:pt idx="115">
                  <c:v>180</c:v>
                </c:pt>
                <c:pt idx="116">
                  <c:v>185</c:v>
                </c:pt>
                <c:pt idx="117">
                  <c:v>190</c:v>
                </c:pt>
                <c:pt idx="118">
                  <c:v>195</c:v>
                </c:pt>
                <c:pt idx="119">
                  <c:v>200</c:v>
                </c:pt>
                <c:pt idx="120">
                  <c:v>205</c:v>
                </c:pt>
                <c:pt idx="121">
                  <c:v>210</c:v>
                </c:pt>
                <c:pt idx="122">
                  <c:v>215</c:v>
                </c:pt>
                <c:pt idx="123">
                  <c:v>220</c:v>
                </c:pt>
                <c:pt idx="124">
                  <c:v>225</c:v>
                </c:pt>
                <c:pt idx="125">
                  <c:v>230</c:v>
                </c:pt>
                <c:pt idx="126">
                  <c:v>235</c:v>
                </c:pt>
                <c:pt idx="127">
                  <c:v>240</c:v>
                </c:pt>
                <c:pt idx="128">
                  <c:v>245</c:v>
                </c:pt>
                <c:pt idx="129">
                  <c:v>250</c:v>
                </c:pt>
                <c:pt idx="130">
                  <c:v>255</c:v>
                </c:pt>
                <c:pt idx="131">
                  <c:v>260</c:v>
                </c:pt>
                <c:pt idx="132">
                  <c:v>265</c:v>
                </c:pt>
                <c:pt idx="133">
                  <c:v>270</c:v>
                </c:pt>
                <c:pt idx="134">
                  <c:v>275</c:v>
                </c:pt>
                <c:pt idx="135">
                  <c:v>280</c:v>
                </c:pt>
                <c:pt idx="136">
                  <c:v>285</c:v>
                </c:pt>
                <c:pt idx="137">
                  <c:v>290</c:v>
                </c:pt>
                <c:pt idx="138">
                  <c:v>295</c:v>
                </c:pt>
                <c:pt idx="139">
                  <c:v>300</c:v>
                </c:pt>
                <c:pt idx="140">
                  <c:v>305</c:v>
                </c:pt>
                <c:pt idx="141">
                  <c:v>310</c:v>
                </c:pt>
                <c:pt idx="142">
                  <c:v>315</c:v>
                </c:pt>
                <c:pt idx="143">
                  <c:v>320</c:v>
                </c:pt>
                <c:pt idx="144">
                  <c:v>325</c:v>
                </c:pt>
                <c:pt idx="145">
                  <c:v>330</c:v>
                </c:pt>
                <c:pt idx="146">
                  <c:v>335</c:v>
                </c:pt>
                <c:pt idx="147">
                  <c:v>340</c:v>
                </c:pt>
                <c:pt idx="148">
                  <c:v>345</c:v>
                </c:pt>
                <c:pt idx="149">
                  <c:v>350</c:v>
                </c:pt>
                <c:pt idx="150">
                  <c:v>355</c:v>
                </c:pt>
                <c:pt idx="151">
                  <c:v>360</c:v>
                </c:pt>
                <c:pt idx="152">
                  <c:v>365</c:v>
                </c:pt>
                <c:pt idx="153">
                  <c:v>370</c:v>
                </c:pt>
                <c:pt idx="154">
                  <c:v>375</c:v>
                </c:pt>
                <c:pt idx="155">
                  <c:v>380</c:v>
                </c:pt>
                <c:pt idx="156">
                  <c:v>385</c:v>
                </c:pt>
                <c:pt idx="157">
                  <c:v>390</c:v>
                </c:pt>
                <c:pt idx="158">
                  <c:v>395</c:v>
                </c:pt>
                <c:pt idx="159">
                  <c:v>400</c:v>
                </c:pt>
                <c:pt idx="160">
                  <c:v>405</c:v>
                </c:pt>
                <c:pt idx="161">
                  <c:v>410</c:v>
                </c:pt>
                <c:pt idx="162">
                  <c:v>415</c:v>
                </c:pt>
                <c:pt idx="163">
                  <c:v>420</c:v>
                </c:pt>
                <c:pt idx="164">
                  <c:v>425</c:v>
                </c:pt>
                <c:pt idx="165">
                  <c:v>430</c:v>
                </c:pt>
                <c:pt idx="166">
                  <c:v>435</c:v>
                </c:pt>
                <c:pt idx="167">
                  <c:v>440</c:v>
                </c:pt>
                <c:pt idx="168">
                  <c:v>445</c:v>
                </c:pt>
                <c:pt idx="169">
                  <c:v>450</c:v>
                </c:pt>
                <c:pt idx="170">
                  <c:v>455</c:v>
                </c:pt>
                <c:pt idx="171">
                  <c:v>460</c:v>
                </c:pt>
                <c:pt idx="172">
                  <c:v>465</c:v>
                </c:pt>
                <c:pt idx="173">
                  <c:v>470</c:v>
                </c:pt>
                <c:pt idx="174">
                  <c:v>475</c:v>
                </c:pt>
                <c:pt idx="175">
                  <c:v>480</c:v>
                </c:pt>
                <c:pt idx="176">
                  <c:v>485</c:v>
                </c:pt>
                <c:pt idx="177">
                  <c:v>490</c:v>
                </c:pt>
                <c:pt idx="178">
                  <c:v>495</c:v>
                </c:pt>
                <c:pt idx="179">
                  <c:v>500</c:v>
                </c:pt>
                <c:pt idx="180">
                  <c:v>505</c:v>
                </c:pt>
                <c:pt idx="181">
                  <c:v>510</c:v>
                </c:pt>
                <c:pt idx="182">
                  <c:v>515</c:v>
                </c:pt>
                <c:pt idx="183">
                  <c:v>520</c:v>
                </c:pt>
                <c:pt idx="184">
                  <c:v>525</c:v>
                </c:pt>
                <c:pt idx="185">
                  <c:v>530</c:v>
                </c:pt>
                <c:pt idx="186">
                  <c:v>535</c:v>
                </c:pt>
                <c:pt idx="187">
                  <c:v>540</c:v>
                </c:pt>
                <c:pt idx="188">
                  <c:v>545</c:v>
                </c:pt>
                <c:pt idx="189">
                  <c:v>550</c:v>
                </c:pt>
                <c:pt idx="190">
                  <c:v>555</c:v>
                </c:pt>
                <c:pt idx="191">
                  <c:v>560</c:v>
                </c:pt>
                <c:pt idx="192">
                  <c:v>565</c:v>
                </c:pt>
                <c:pt idx="193">
                  <c:v>570</c:v>
                </c:pt>
                <c:pt idx="194">
                  <c:v>575</c:v>
                </c:pt>
                <c:pt idx="195">
                  <c:v>580</c:v>
                </c:pt>
                <c:pt idx="196">
                  <c:v>585</c:v>
                </c:pt>
                <c:pt idx="197">
                  <c:v>590</c:v>
                </c:pt>
                <c:pt idx="198">
                  <c:v>595</c:v>
                </c:pt>
                <c:pt idx="199">
                  <c:v>600</c:v>
                </c:pt>
                <c:pt idx="200">
                  <c:v>605</c:v>
                </c:pt>
                <c:pt idx="201">
                  <c:v>610</c:v>
                </c:pt>
                <c:pt idx="202">
                  <c:v>615</c:v>
                </c:pt>
                <c:pt idx="203">
                  <c:v>620</c:v>
                </c:pt>
                <c:pt idx="204">
                  <c:v>625</c:v>
                </c:pt>
                <c:pt idx="205">
                  <c:v>630</c:v>
                </c:pt>
                <c:pt idx="206">
                  <c:v>635</c:v>
                </c:pt>
                <c:pt idx="207">
                  <c:v>640</c:v>
                </c:pt>
                <c:pt idx="208">
                  <c:v>645</c:v>
                </c:pt>
                <c:pt idx="209">
                  <c:v>650</c:v>
                </c:pt>
                <c:pt idx="210">
                  <c:v>655</c:v>
                </c:pt>
                <c:pt idx="211">
                  <c:v>660</c:v>
                </c:pt>
                <c:pt idx="212">
                  <c:v>665</c:v>
                </c:pt>
                <c:pt idx="213">
                  <c:v>670</c:v>
                </c:pt>
                <c:pt idx="214">
                  <c:v>675</c:v>
                </c:pt>
                <c:pt idx="215">
                  <c:v>680</c:v>
                </c:pt>
                <c:pt idx="216">
                  <c:v>685</c:v>
                </c:pt>
                <c:pt idx="217">
                  <c:v>690</c:v>
                </c:pt>
                <c:pt idx="218">
                  <c:v>695</c:v>
                </c:pt>
                <c:pt idx="219">
                  <c:v>700</c:v>
                </c:pt>
                <c:pt idx="220">
                  <c:v>705</c:v>
                </c:pt>
                <c:pt idx="221">
                  <c:v>710</c:v>
                </c:pt>
                <c:pt idx="222">
                  <c:v>715</c:v>
                </c:pt>
                <c:pt idx="223">
                  <c:v>720</c:v>
                </c:pt>
                <c:pt idx="224">
                  <c:v>725</c:v>
                </c:pt>
                <c:pt idx="225">
                  <c:v>730</c:v>
                </c:pt>
                <c:pt idx="226">
                  <c:v>735</c:v>
                </c:pt>
                <c:pt idx="227">
                  <c:v>740</c:v>
                </c:pt>
                <c:pt idx="228">
                  <c:v>745</c:v>
                </c:pt>
                <c:pt idx="229">
                  <c:v>750</c:v>
                </c:pt>
                <c:pt idx="230">
                  <c:v>755</c:v>
                </c:pt>
                <c:pt idx="231">
                  <c:v>760</c:v>
                </c:pt>
                <c:pt idx="232">
                  <c:v>765</c:v>
                </c:pt>
                <c:pt idx="233">
                  <c:v>770</c:v>
                </c:pt>
                <c:pt idx="234">
                  <c:v>775</c:v>
                </c:pt>
                <c:pt idx="235">
                  <c:v>780</c:v>
                </c:pt>
                <c:pt idx="236">
                  <c:v>785</c:v>
                </c:pt>
                <c:pt idx="237">
                  <c:v>790</c:v>
                </c:pt>
                <c:pt idx="238">
                  <c:v>795</c:v>
                </c:pt>
                <c:pt idx="239">
                  <c:v>800</c:v>
                </c:pt>
                <c:pt idx="240">
                  <c:v>805</c:v>
                </c:pt>
                <c:pt idx="241">
                  <c:v>810</c:v>
                </c:pt>
                <c:pt idx="242">
                  <c:v>815</c:v>
                </c:pt>
                <c:pt idx="243">
                  <c:v>820</c:v>
                </c:pt>
                <c:pt idx="244">
                  <c:v>825</c:v>
                </c:pt>
                <c:pt idx="245">
                  <c:v>830</c:v>
                </c:pt>
                <c:pt idx="246">
                  <c:v>835</c:v>
                </c:pt>
                <c:pt idx="247">
                  <c:v>840</c:v>
                </c:pt>
                <c:pt idx="248">
                  <c:v>845</c:v>
                </c:pt>
                <c:pt idx="249">
                  <c:v>850</c:v>
                </c:pt>
                <c:pt idx="250">
                  <c:v>855</c:v>
                </c:pt>
                <c:pt idx="251">
                  <c:v>860</c:v>
                </c:pt>
                <c:pt idx="252">
                  <c:v>865</c:v>
                </c:pt>
                <c:pt idx="253">
                  <c:v>870</c:v>
                </c:pt>
                <c:pt idx="254">
                  <c:v>875</c:v>
                </c:pt>
                <c:pt idx="255">
                  <c:v>880</c:v>
                </c:pt>
                <c:pt idx="256">
                  <c:v>885</c:v>
                </c:pt>
                <c:pt idx="257">
                  <c:v>890</c:v>
                </c:pt>
                <c:pt idx="258">
                  <c:v>895</c:v>
                </c:pt>
                <c:pt idx="259">
                  <c:v>900</c:v>
                </c:pt>
                <c:pt idx="260">
                  <c:v>905</c:v>
                </c:pt>
                <c:pt idx="261">
                  <c:v>910</c:v>
                </c:pt>
                <c:pt idx="262">
                  <c:v>915</c:v>
                </c:pt>
                <c:pt idx="263">
                  <c:v>920</c:v>
                </c:pt>
                <c:pt idx="264">
                  <c:v>925</c:v>
                </c:pt>
                <c:pt idx="265">
                  <c:v>930</c:v>
                </c:pt>
                <c:pt idx="266">
                  <c:v>935</c:v>
                </c:pt>
                <c:pt idx="267">
                  <c:v>940</c:v>
                </c:pt>
                <c:pt idx="268">
                  <c:v>945</c:v>
                </c:pt>
                <c:pt idx="269">
                  <c:v>950</c:v>
                </c:pt>
                <c:pt idx="270">
                  <c:v>955</c:v>
                </c:pt>
                <c:pt idx="271">
                  <c:v>960</c:v>
                </c:pt>
                <c:pt idx="272">
                  <c:v>965</c:v>
                </c:pt>
                <c:pt idx="273">
                  <c:v>970</c:v>
                </c:pt>
                <c:pt idx="274">
                  <c:v>975</c:v>
                </c:pt>
                <c:pt idx="275">
                  <c:v>980</c:v>
                </c:pt>
                <c:pt idx="276">
                  <c:v>985</c:v>
                </c:pt>
                <c:pt idx="277">
                  <c:v>990</c:v>
                </c:pt>
                <c:pt idx="278">
                  <c:v>995</c:v>
                </c:pt>
                <c:pt idx="279">
                  <c:v>1000</c:v>
                </c:pt>
                <c:pt idx="280">
                  <c:v>1010</c:v>
                </c:pt>
                <c:pt idx="281">
                  <c:v>1020</c:v>
                </c:pt>
                <c:pt idx="282">
                  <c:v>1030</c:v>
                </c:pt>
                <c:pt idx="283">
                  <c:v>1040</c:v>
                </c:pt>
                <c:pt idx="284">
                  <c:v>1050</c:v>
                </c:pt>
                <c:pt idx="285">
                  <c:v>1060</c:v>
                </c:pt>
                <c:pt idx="286">
                  <c:v>1070</c:v>
                </c:pt>
                <c:pt idx="287">
                  <c:v>1080</c:v>
                </c:pt>
                <c:pt idx="288">
                  <c:v>1090</c:v>
                </c:pt>
                <c:pt idx="289">
                  <c:v>1100</c:v>
                </c:pt>
                <c:pt idx="290">
                  <c:v>1110</c:v>
                </c:pt>
                <c:pt idx="291">
                  <c:v>1120</c:v>
                </c:pt>
                <c:pt idx="292">
                  <c:v>1130</c:v>
                </c:pt>
                <c:pt idx="293">
                  <c:v>1140</c:v>
                </c:pt>
                <c:pt idx="294">
                  <c:v>1150</c:v>
                </c:pt>
                <c:pt idx="295">
                  <c:v>1160</c:v>
                </c:pt>
                <c:pt idx="296">
                  <c:v>1170</c:v>
                </c:pt>
                <c:pt idx="297">
                  <c:v>1180</c:v>
                </c:pt>
                <c:pt idx="298">
                  <c:v>1190</c:v>
                </c:pt>
                <c:pt idx="299">
                  <c:v>1200</c:v>
                </c:pt>
                <c:pt idx="300">
                  <c:v>1210</c:v>
                </c:pt>
                <c:pt idx="301">
                  <c:v>1220</c:v>
                </c:pt>
                <c:pt idx="302">
                  <c:v>1230</c:v>
                </c:pt>
                <c:pt idx="303">
                  <c:v>1240</c:v>
                </c:pt>
                <c:pt idx="304">
                  <c:v>1250</c:v>
                </c:pt>
                <c:pt idx="305">
                  <c:v>1260</c:v>
                </c:pt>
                <c:pt idx="306">
                  <c:v>1270</c:v>
                </c:pt>
                <c:pt idx="307">
                  <c:v>1280</c:v>
                </c:pt>
                <c:pt idx="308">
                  <c:v>1290</c:v>
                </c:pt>
                <c:pt idx="309">
                  <c:v>1300</c:v>
                </c:pt>
                <c:pt idx="310">
                  <c:v>1310</c:v>
                </c:pt>
                <c:pt idx="311">
                  <c:v>1320</c:v>
                </c:pt>
                <c:pt idx="312">
                  <c:v>1330</c:v>
                </c:pt>
                <c:pt idx="313">
                  <c:v>1340</c:v>
                </c:pt>
                <c:pt idx="314">
                  <c:v>1350</c:v>
                </c:pt>
                <c:pt idx="315">
                  <c:v>1360</c:v>
                </c:pt>
                <c:pt idx="316">
                  <c:v>1370</c:v>
                </c:pt>
                <c:pt idx="317">
                  <c:v>1380</c:v>
                </c:pt>
                <c:pt idx="318">
                  <c:v>1390</c:v>
                </c:pt>
                <c:pt idx="319">
                  <c:v>1400</c:v>
                </c:pt>
                <c:pt idx="320">
                  <c:v>1410</c:v>
                </c:pt>
                <c:pt idx="321">
                  <c:v>1420</c:v>
                </c:pt>
                <c:pt idx="322">
                  <c:v>1430</c:v>
                </c:pt>
                <c:pt idx="323">
                  <c:v>1440</c:v>
                </c:pt>
                <c:pt idx="324">
                  <c:v>1450</c:v>
                </c:pt>
                <c:pt idx="325">
                  <c:v>1460</c:v>
                </c:pt>
                <c:pt idx="326">
                  <c:v>1470</c:v>
                </c:pt>
                <c:pt idx="327">
                  <c:v>1480</c:v>
                </c:pt>
                <c:pt idx="328">
                  <c:v>1490</c:v>
                </c:pt>
                <c:pt idx="329">
                  <c:v>1500</c:v>
                </c:pt>
                <c:pt idx="330">
                  <c:v>1510</c:v>
                </c:pt>
                <c:pt idx="331">
                  <c:v>1520</c:v>
                </c:pt>
                <c:pt idx="332">
                  <c:v>1530</c:v>
                </c:pt>
                <c:pt idx="333">
                  <c:v>1540</c:v>
                </c:pt>
                <c:pt idx="334">
                  <c:v>1550</c:v>
                </c:pt>
                <c:pt idx="335">
                  <c:v>1560</c:v>
                </c:pt>
                <c:pt idx="336">
                  <c:v>1570</c:v>
                </c:pt>
                <c:pt idx="337">
                  <c:v>1580</c:v>
                </c:pt>
                <c:pt idx="338">
                  <c:v>1590</c:v>
                </c:pt>
                <c:pt idx="339">
                  <c:v>1600</c:v>
                </c:pt>
                <c:pt idx="340">
                  <c:v>1610</c:v>
                </c:pt>
                <c:pt idx="341">
                  <c:v>1620</c:v>
                </c:pt>
                <c:pt idx="342">
                  <c:v>1630</c:v>
                </c:pt>
                <c:pt idx="343">
                  <c:v>1640</c:v>
                </c:pt>
                <c:pt idx="344">
                  <c:v>1650</c:v>
                </c:pt>
                <c:pt idx="345">
                  <c:v>1660</c:v>
                </c:pt>
                <c:pt idx="346">
                  <c:v>1670</c:v>
                </c:pt>
                <c:pt idx="347">
                  <c:v>1680</c:v>
                </c:pt>
                <c:pt idx="348">
                  <c:v>1690</c:v>
                </c:pt>
                <c:pt idx="349">
                  <c:v>1700</c:v>
                </c:pt>
                <c:pt idx="350">
                  <c:v>1710</c:v>
                </c:pt>
                <c:pt idx="351">
                  <c:v>1720</c:v>
                </c:pt>
                <c:pt idx="352">
                  <c:v>1730</c:v>
                </c:pt>
                <c:pt idx="353">
                  <c:v>1740</c:v>
                </c:pt>
                <c:pt idx="354">
                  <c:v>1750</c:v>
                </c:pt>
                <c:pt idx="355">
                  <c:v>1760</c:v>
                </c:pt>
                <c:pt idx="356">
                  <c:v>1770</c:v>
                </c:pt>
                <c:pt idx="357">
                  <c:v>1780</c:v>
                </c:pt>
                <c:pt idx="358">
                  <c:v>1790</c:v>
                </c:pt>
                <c:pt idx="359">
                  <c:v>1800</c:v>
                </c:pt>
                <c:pt idx="360">
                  <c:v>1810</c:v>
                </c:pt>
                <c:pt idx="361">
                  <c:v>1820</c:v>
                </c:pt>
                <c:pt idx="362">
                  <c:v>1830</c:v>
                </c:pt>
                <c:pt idx="363">
                  <c:v>1840</c:v>
                </c:pt>
                <c:pt idx="364">
                  <c:v>1850</c:v>
                </c:pt>
                <c:pt idx="365">
                  <c:v>1860</c:v>
                </c:pt>
                <c:pt idx="366">
                  <c:v>1870</c:v>
                </c:pt>
                <c:pt idx="367">
                  <c:v>1880</c:v>
                </c:pt>
                <c:pt idx="368">
                  <c:v>1890</c:v>
                </c:pt>
                <c:pt idx="369">
                  <c:v>1900</c:v>
                </c:pt>
                <c:pt idx="370">
                  <c:v>1910</c:v>
                </c:pt>
                <c:pt idx="371">
                  <c:v>1920</c:v>
                </c:pt>
                <c:pt idx="372">
                  <c:v>1930</c:v>
                </c:pt>
                <c:pt idx="373">
                  <c:v>1940</c:v>
                </c:pt>
                <c:pt idx="374">
                  <c:v>1950</c:v>
                </c:pt>
                <c:pt idx="375">
                  <c:v>1960</c:v>
                </c:pt>
                <c:pt idx="376">
                  <c:v>1970</c:v>
                </c:pt>
                <c:pt idx="377">
                  <c:v>1980</c:v>
                </c:pt>
                <c:pt idx="378">
                  <c:v>1990</c:v>
                </c:pt>
                <c:pt idx="379">
                  <c:v>2000</c:v>
                </c:pt>
                <c:pt idx="380">
                  <c:v>2050</c:v>
                </c:pt>
                <c:pt idx="381">
                  <c:v>2100</c:v>
                </c:pt>
                <c:pt idx="382">
                  <c:v>2150</c:v>
                </c:pt>
                <c:pt idx="383">
                  <c:v>2200</c:v>
                </c:pt>
                <c:pt idx="384">
                  <c:v>2250</c:v>
                </c:pt>
                <c:pt idx="385">
                  <c:v>2300</c:v>
                </c:pt>
                <c:pt idx="386">
                  <c:v>2350</c:v>
                </c:pt>
                <c:pt idx="387">
                  <c:v>2400</c:v>
                </c:pt>
                <c:pt idx="388">
                  <c:v>2450</c:v>
                </c:pt>
                <c:pt idx="389">
                  <c:v>2500</c:v>
                </c:pt>
                <c:pt idx="390">
                  <c:v>2550</c:v>
                </c:pt>
                <c:pt idx="391">
                  <c:v>2600</c:v>
                </c:pt>
                <c:pt idx="392">
                  <c:v>2650</c:v>
                </c:pt>
                <c:pt idx="393">
                  <c:v>2700</c:v>
                </c:pt>
                <c:pt idx="394">
                  <c:v>2750</c:v>
                </c:pt>
                <c:pt idx="395">
                  <c:v>2800</c:v>
                </c:pt>
                <c:pt idx="396">
                  <c:v>2850</c:v>
                </c:pt>
                <c:pt idx="397">
                  <c:v>2900</c:v>
                </c:pt>
                <c:pt idx="398">
                  <c:v>2950</c:v>
                </c:pt>
                <c:pt idx="399">
                  <c:v>3000</c:v>
                </c:pt>
                <c:pt idx="400">
                  <c:v>3250</c:v>
                </c:pt>
                <c:pt idx="401">
                  <c:v>3500</c:v>
                </c:pt>
                <c:pt idx="402">
                  <c:v>3750</c:v>
                </c:pt>
                <c:pt idx="403">
                  <c:v>4000</c:v>
                </c:pt>
              </c:numCache>
            </c:numRef>
          </c:xVal>
          <c:yVal>
            <c:numRef>
              <c:f>'Resultados'!$B$2:$B$405</c:f>
              <c:numCache>
                <c:formatCode>0.00</c:formatCode>
                <c:ptCount val="404"/>
                <c:pt idx="0">
                  <c:v>7.0000000000000007E-2</c:v>
                </c:pt>
                <c:pt idx="1">
                  <c:v>0.19</c:v>
                </c:pt>
                <c:pt idx="2">
                  <c:v>0.24</c:v>
                </c:pt>
                <c:pt idx="3">
                  <c:v>0.32</c:v>
                </c:pt>
                <c:pt idx="4">
                  <c:v>0.45</c:v>
                </c:pt>
                <c:pt idx="5">
                  <c:v>0.49</c:v>
                </c:pt>
                <c:pt idx="6">
                  <c:v>0.52</c:v>
                </c:pt>
                <c:pt idx="7">
                  <c:v>0.64</c:v>
                </c:pt>
                <c:pt idx="8">
                  <c:v>0.66</c:v>
                </c:pt>
                <c:pt idx="9">
                  <c:v>0.81</c:v>
                </c:pt>
                <c:pt idx="10">
                  <c:v>1.29</c:v>
                </c:pt>
                <c:pt idx="11">
                  <c:v>0.93</c:v>
                </c:pt>
                <c:pt idx="12">
                  <c:v>1.1000000000000001</c:v>
                </c:pt>
                <c:pt idx="13">
                  <c:v>1.56</c:v>
                </c:pt>
                <c:pt idx="14">
                  <c:v>1.66</c:v>
                </c:pt>
                <c:pt idx="15">
                  <c:v>1.25</c:v>
                </c:pt>
                <c:pt idx="16">
                  <c:v>1.29</c:v>
                </c:pt>
                <c:pt idx="17">
                  <c:v>1.77</c:v>
                </c:pt>
                <c:pt idx="18">
                  <c:v>1.53</c:v>
                </c:pt>
                <c:pt idx="19">
                  <c:v>1.46</c:v>
                </c:pt>
                <c:pt idx="20">
                  <c:v>1.78</c:v>
                </c:pt>
                <c:pt idx="21">
                  <c:v>1.86</c:v>
                </c:pt>
                <c:pt idx="22">
                  <c:v>1.69</c:v>
                </c:pt>
                <c:pt idx="23">
                  <c:v>1.77</c:v>
                </c:pt>
                <c:pt idx="24">
                  <c:v>1.95</c:v>
                </c:pt>
                <c:pt idx="25">
                  <c:v>2.14</c:v>
                </c:pt>
                <c:pt idx="26">
                  <c:v>1.95</c:v>
                </c:pt>
                <c:pt idx="27">
                  <c:v>2.16</c:v>
                </c:pt>
                <c:pt idx="28">
                  <c:v>2.25</c:v>
                </c:pt>
                <c:pt idx="29">
                  <c:v>2.3199999999999998</c:v>
                </c:pt>
                <c:pt idx="30">
                  <c:v>2.87</c:v>
                </c:pt>
                <c:pt idx="31">
                  <c:v>2.5099999999999998</c:v>
                </c:pt>
                <c:pt idx="32">
                  <c:v>2.4700000000000002</c:v>
                </c:pt>
                <c:pt idx="33">
                  <c:v>2.56</c:v>
                </c:pt>
                <c:pt idx="34">
                  <c:v>2.5</c:v>
                </c:pt>
                <c:pt idx="35">
                  <c:v>2.94</c:v>
                </c:pt>
                <c:pt idx="36">
                  <c:v>2.94</c:v>
                </c:pt>
                <c:pt idx="37">
                  <c:v>2.91</c:v>
                </c:pt>
                <c:pt idx="38">
                  <c:v>3.16</c:v>
                </c:pt>
                <c:pt idx="39">
                  <c:v>3.14</c:v>
                </c:pt>
                <c:pt idx="40">
                  <c:v>2.97</c:v>
                </c:pt>
                <c:pt idx="41">
                  <c:v>3.22</c:v>
                </c:pt>
                <c:pt idx="42">
                  <c:v>3.37</c:v>
                </c:pt>
                <c:pt idx="43">
                  <c:v>3.23</c:v>
                </c:pt>
                <c:pt idx="44">
                  <c:v>3.48</c:v>
                </c:pt>
                <c:pt idx="45">
                  <c:v>3.43</c:v>
                </c:pt>
                <c:pt idx="46">
                  <c:v>3.78</c:v>
                </c:pt>
                <c:pt idx="47">
                  <c:v>3.52</c:v>
                </c:pt>
                <c:pt idx="48">
                  <c:v>3.72</c:v>
                </c:pt>
                <c:pt idx="49">
                  <c:v>3.85</c:v>
                </c:pt>
                <c:pt idx="50">
                  <c:v>4.0199999999999996</c:v>
                </c:pt>
                <c:pt idx="51">
                  <c:v>4.04</c:v>
                </c:pt>
                <c:pt idx="52">
                  <c:v>4.22</c:v>
                </c:pt>
                <c:pt idx="53">
                  <c:v>4</c:v>
                </c:pt>
                <c:pt idx="54">
                  <c:v>4.1500000000000004</c:v>
                </c:pt>
                <c:pt idx="55">
                  <c:v>4.3499999999999996</c:v>
                </c:pt>
                <c:pt idx="56">
                  <c:v>4.29</c:v>
                </c:pt>
                <c:pt idx="57">
                  <c:v>4.6399999999999997</c:v>
                </c:pt>
                <c:pt idx="58">
                  <c:v>4.7699999999999996</c:v>
                </c:pt>
                <c:pt idx="59">
                  <c:v>4.95</c:v>
                </c:pt>
                <c:pt idx="60">
                  <c:v>4.8499999999999996</c:v>
                </c:pt>
                <c:pt idx="61">
                  <c:v>4.8099999999999996</c:v>
                </c:pt>
                <c:pt idx="62">
                  <c:v>4.76</c:v>
                </c:pt>
                <c:pt idx="63">
                  <c:v>5.08</c:v>
                </c:pt>
                <c:pt idx="64">
                  <c:v>5.48</c:v>
                </c:pt>
                <c:pt idx="65">
                  <c:v>5.35</c:v>
                </c:pt>
                <c:pt idx="66">
                  <c:v>5.58</c:v>
                </c:pt>
                <c:pt idx="67">
                  <c:v>5.34</c:v>
                </c:pt>
                <c:pt idx="68">
                  <c:v>5.64</c:v>
                </c:pt>
                <c:pt idx="69">
                  <c:v>5.35</c:v>
                </c:pt>
                <c:pt idx="70">
                  <c:v>5.51</c:v>
                </c:pt>
                <c:pt idx="71">
                  <c:v>5.48</c:v>
                </c:pt>
                <c:pt idx="72">
                  <c:v>6.4</c:v>
                </c:pt>
                <c:pt idx="73">
                  <c:v>5.76</c:v>
                </c:pt>
                <c:pt idx="74">
                  <c:v>5.55</c:v>
                </c:pt>
                <c:pt idx="75">
                  <c:v>5.97</c:v>
                </c:pt>
                <c:pt idx="76">
                  <c:v>6.9</c:v>
                </c:pt>
                <c:pt idx="77">
                  <c:v>6.18</c:v>
                </c:pt>
                <c:pt idx="78">
                  <c:v>6.45</c:v>
                </c:pt>
                <c:pt idx="79">
                  <c:v>6.5</c:v>
                </c:pt>
                <c:pt idx="80">
                  <c:v>6.81</c:v>
                </c:pt>
                <c:pt idx="81">
                  <c:v>7.21</c:v>
                </c:pt>
                <c:pt idx="82">
                  <c:v>6.41</c:v>
                </c:pt>
                <c:pt idx="83">
                  <c:v>6.37</c:v>
                </c:pt>
                <c:pt idx="84">
                  <c:v>6.25</c:v>
                </c:pt>
                <c:pt idx="85">
                  <c:v>6.25</c:v>
                </c:pt>
                <c:pt idx="86">
                  <c:v>6.74</c:v>
                </c:pt>
                <c:pt idx="87">
                  <c:v>6.34</c:v>
                </c:pt>
                <c:pt idx="88">
                  <c:v>7.17</c:v>
                </c:pt>
                <c:pt idx="89">
                  <c:v>6.89</c:v>
                </c:pt>
                <c:pt idx="90">
                  <c:v>7.16</c:v>
                </c:pt>
                <c:pt idx="91">
                  <c:v>7.08</c:v>
                </c:pt>
                <c:pt idx="92">
                  <c:v>7.41</c:v>
                </c:pt>
                <c:pt idx="93">
                  <c:v>7.42</c:v>
                </c:pt>
                <c:pt idx="94">
                  <c:v>7.2</c:v>
                </c:pt>
                <c:pt idx="95">
                  <c:v>6.96</c:v>
                </c:pt>
                <c:pt idx="96">
                  <c:v>7.61</c:v>
                </c:pt>
                <c:pt idx="97">
                  <c:v>7.63</c:v>
                </c:pt>
                <c:pt idx="98">
                  <c:v>7.16</c:v>
                </c:pt>
                <c:pt idx="99">
                  <c:v>6.79</c:v>
                </c:pt>
                <c:pt idx="100">
                  <c:v>7.97</c:v>
                </c:pt>
                <c:pt idx="101">
                  <c:v>10.31</c:v>
                </c:pt>
                <c:pt idx="102">
                  <c:v>43.56</c:v>
                </c:pt>
                <c:pt idx="103">
                  <c:v>8.94</c:v>
                </c:pt>
                <c:pt idx="104">
                  <c:v>10.87</c:v>
                </c:pt>
                <c:pt idx="105">
                  <c:v>11.59</c:v>
                </c:pt>
                <c:pt idx="106">
                  <c:v>10.97</c:v>
                </c:pt>
                <c:pt idx="107">
                  <c:v>13.67</c:v>
                </c:pt>
                <c:pt idx="108">
                  <c:v>15.64</c:v>
                </c:pt>
                <c:pt idx="109">
                  <c:v>13.43</c:v>
                </c:pt>
                <c:pt idx="110">
                  <c:v>13.24</c:v>
                </c:pt>
                <c:pt idx="111">
                  <c:v>12.69</c:v>
                </c:pt>
                <c:pt idx="112">
                  <c:v>16.239999999999998</c:v>
                </c:pt>
                <c:pt idx="113">
                  <c:v>13.53</c:v>
                </c:pt>
                <c:pt idx="114">
                  <c:v>13.77</c:v>
                </c:pt>
                <c:pt idx="115">
                  <c:v>14.41</c:v>
                </c:pt>
                <c:pt idx="116">
                  <c:v>14.59</c:v>
                </c:pt>
                <c:pt idx="117">
                  <c:v>15.2</c:v>
                </c:pt>
                <c:pt idx="118">
                  <c:v>15.21</c:v>
                </c:pt>
                <c:pt idx="119">
                  <c:v>15.41</c:v>
                </c:pt>
                <c:pt idx="120">
                  <c:v>15.65</c:v>
                </c:pt>
                <c:pt idx="121">
                  <c:v>16.61</c:v>
                </c:pt>
                <c:pt idx="122">
                  <c:v>16.899999999999999</c:v>
                </c:pt>
                <c:pt idx="123">
                  <c:v>16.940000000000001</c:v>
                </c:pt>
                <c:pt idx="124">
                  <c:v>18.18</c:v>
                </c:pt>
                <c:pt idx="125">
                  <c:v>17.77</c:v>
                </c:pt>
                <c:pt idx="126">
                  <c:v>19.079999999999998</c:v>
                </c:pt>
                <c:pt idx="127">
                  <c:v>19.239999999999998</c:v>
                </c:pt>
                <c:pt idx="128">
                  <c:v>19.809999999999999</c:v>
                </c:pt>
                <c:pt idx="129">
                  <c:v>20.149999999999999</c:v>
                </c:pt>
                <c:pt idx="130">
                  <c:v>19.84</c:v>
                </c:pt>
                <c:pt idx="131">
                  <c:v>21.02</c:v>
                </c:pt>
                <c:pt idx="132">
                  <c:v>21.08</c:v>
                </c:pt>
                <c:pt idx="133">
                  <c:v>20.84</c:v>
                </c:pt>
                <c:pt idx="134">
                  <c:v>23.72</c:v>
                </c:pt>
                <c:pt idx="135">
                  <c:v>23.03</c:v>
                </c:pt>
                <c:pt idx="136">
                  <c:v>22.5</c:v>
                </c:pt>
                <c:pt idx="137">
                  <c:v>24.89</c:v>
                </c:pt>
                <c:pt idx="138">
                  <c:v>23.33</c:v>
                </c:pt>
                <c:pt idx="139">
                  <c:v>23.63</c:v>
                </c:pt>
                <c:pt idx="140">
                  <c:v>23.55</c:v>
                </c:pt>
                <c:pt idx="141">
                  <c:v>24.5</c:v>
                </c:pt>
                <c:pt idx="142">
                  <c:v>24.61</c:v>
                </c:pt>
                <c:pt idx="143">
                  <c:v>25.57</c:v>
                </c:pt>
                <c:pt idx="144">
                  <c:v>25.39</c:v>
                </c:pt>
                <c:pt idx="145">
                  <c:v>27.26</c:v>
                </c:pt>
                <c:pt idx="146">
                  <c:v>26.43</c:v>
                </c:pt>
                <c:pt idx="147">
                  <c:v>26.93</c:v>
                </c:pt>
                <c:pt idx="148">
                  <c:v>27.49</c:v>
                </c:pt>
                <c:pt idx="149">
                  <c:v>28.1</c:v>
                </c:pt>
                <c:pt idx="150">
                  <c:v>29.28</c:v>
                </c:pt>
                <c:pt idx="151">
                  <c:v>29.31</c:v>
                </c:pt>
                <c:pt idx="152">
                  <c:v>29.46</c:v>
                </c:pt>
                <c:pt idx="153">
                  <c:v>30.89</c:v>
                </c:pt>
                <c:pt idx="154">
                  <c:v>30.73</c:v>
                </c:pt>
                <c:pt idx="155">
                  <c:v>30.02</c:v>
                </c:pt>
                <c:pt idx="156">
                  <c:v>30.46</c:v>
                </c:pt>
                <c:pt idx="157">
                  <c:v>30.34</c:v>
                </c:pt>
                <c:pt idx="158">
                  <c:v>31.01</c:v>
                </c:pt>
                <c:pt idx="159">
                  <c:v>31.9</c:v>
                </c:pt>
                <c:pt idx="160">
                  <c:v>31.39</c:v>
                </c:pt>
                <c:pt idx="161">
                  <c:v>33.380000000000003</c:v>
                </c:pt>
                <c:pt idx="162">
                  <c:v>33.99</c:v>
                </c:pt>
                <c:pt idx="163">
                  <c:v>38.869999999999997</c:v>
                </c:pt>
                <c:pt idx="164">
                  <c:v>33.33</c:v>
                </c:pt>
                <c:pt idx="165">
                  <c:v>34.18</c:v>
                </c:pt>
                <c:pt idx="166">
                  <c:v>34.17</c:v>
                </c:pt>
                <c:pt idx="167">
                  <c:v>34.29</c:v>
                </c:pt>
                <c:pt idx="168">
                  <c:v>34.51</c:v>
                </c:pt>
                <c:pt idx="169">
                  <c:v>35.42</c:v>
                </c:pt>
                <c:pt idx="170">
                  <c:v>36.79</c:v>
                </c:pt>
                <c:pt idx="171">
                  <c:v>37.299999999999997</c:v>
                </c:pt>
                <c:pt idx="172">
                  <c:v>36.5</c:v>
                </c:pt>
                <c:pt idx="173">
                  <c:v>37.46</c:v>
                </c:pt>
                <c:pt idx="174">
                  <c:v>37.659999999999997</c:v>
                </c:pt>
                <c:pt idx="175">
                  <c:v>38.24</c:v>
                </c:pt>
                <c:pt idx="176">
                  <c:v>39.82</c:v>
                </c:pt>
                <c:pt idx="177">
                  <c:v>38.479999999999997</c:v>
                </c:pt>
                <c:pt idx="178">
                  <c:v>40.1</c:v>
                </c:pt>
                <c:pt idx="179">
                  <c:v>41.62</c:v>
                </c:pt>
                <c:pt idx="180">
                  <c:v>40.46</c:v>
                </c:pt>
                <c:pt idx="181">
                  <c:v>41.39</c:v>
                </c:pt>
                <c:pt idx="182">
                  <c:v>41.33</c:v>
                </c:pt>
                <c:pt idx="183">
                  <c:v>42.64</c:v>
                </c:pt>
                <c:pt idx="184">
                  <c:v>41.26</c:v>
                </c:pt>
                <c:pt idx="185">
                  <c:v>43.64</c:v>
                </c:pt>
                <c:pt idx="186">
                  <c:v>43.23</c:v>
                </c:pt>
                <c:pt idx="187">
                  <c:v>42.97</c:v>
                </c:pt>
                <c:pt idx="188">
                  <c:v>43.76</c:v>
                </c:pt>
                <c:pt idx="189">
                  <c:v>44.09</c:v>
                </c:pt>
                <c:pt idx="190">
                  <c:v>44.14</c:v>
                </c:pt>
                <c:pt idx="191">
                  <c:v>45.39</c:v>
                </c:pt>
                <c:pt idx="192">
                  <c:v>45.3</c:v>
                </c:pt>
                <c:pt idx="193">
                  <c:v>46.42</c:v>
                </c:pt>
                <c:pt idx="194">
                  <c:v>46.87</c:v>
                </c:pt>
                <c:pt idx="195">
                  <c:v>47.48</c:v>
                </c:pt>
                <c:pt idx="196">
                  <c:v>46.44</c:v>
                </c:pt>
                <c:pt idx="197">
                  <c:v>47.01</c:v>
                </c:pt>
                <c:pt idx="198">
                  <c:v>47.97</c:v>
                </c:pt>
                <c:pt idx="199">
                  <c:v>48.54</c:v>
                </c:pt>
                <c:pt idx="200">
                  <c:v>48.84</c:v>
                </c:pt>
                <c:pt idx="201">
                  <c:v>49.58</c:v>
                </c:pt>
                <c:pt idx="202">
                  <c:v>50.54</c:v>
                </c:pt>
                <c:pt idx="203">
                  <c:v>49.83</c:v>
                </c:pt>
                <c:pt idx="204">
                  <c:v>50.37</c:v>
                </c:pt>
                <c:pt idx="205">
                  <c:v>51.21</c:v>
                </c:pt>
                <c:pt idx="206">
                  <c:v>51.66</c:v>
                </c:pt>
                <c:pt idx="207">
                  <c:v>52.34</c:v>
                </c:pt>
                <c:pt idx="208">
                  <c:v>52.09</c:v>
                </c:pt>
                <c:pt idx="209">
                  <c:v>52.27</c:v>
                </c:pt>
                <c:pt idx="210">
                  <c:v>53.12</c:v>
                </c:pt>
                <c:pt idx="211">
                  <c:v>55.07</c:v>
                </c:pt>
                <c:pt idx="212">
                  <c:v>60.71</c:v>
                </c:pt>
                <c:pt idx="213">
                  <c:v>55.44</c:v>
                </c:pt>
                <c:pt idx="214">
                  <c:v>54.82</c:v>
                </c:pt>
                <c:pt idx="215">
                  <c:v>54.58</c:v>
                </c:pt>
                <c:pt idx="216">
                  <c:v>57.88</c:v>
                </c:pt>
                <c:pt idx="217">
                  <c:v>58.17</c:v>
                </c:pt>
                <c:pt idx="218">
                  <c:v>56.76</c:v>
                </c:pt>
                <c:pt idx="219">
                  <c:v>57.07</c:v>
                </c:pt>
                <c:pt idx="220">
                  <c:v>57.7</c:v>
                </c:pt>
                <c:pt idx="221">
                  <c:v>56.73</c:v>
                </c:pt>
                <c:pt idx="222">
                  <c:v>57.48</c:v>
                </c:pt>
                <c:pt idx="223">
                  <c:v>60.78</c:v>
                </c:pt>
                <c:pt idx="224">
                  <c:v>62.43</c:v>
                </c:pt>
                <c:pt idx="225">
                  <c:v>62.95</c:v>
                </c:pt>
                <c:pt idx="226">
                  <c:v>62.34</c:v>
                </c:pt>
                <c:pt idx="227">
                  <c:v>60.3</c:v>
                </c:pt>
                <c:pt idx="228">
                  <c:v>60.17</c:v>
                </c:pt>
                <c:pt idx="229">
                  <c:v>62.66</c:v>
                </c:pt>
                <c:pt idx="230">
                  <c:v>60.31</c:v>
                </c:pt>
                <c:pt idx="231">
                  <c:v>61.14</c:v>
                </c:pt>
                <c:pt idx="232">
                  <c:v>62</c:v>
                </c:pt>
                <c:pt idx="233">
                  <c:v>68.14</c:v>
                </c:pt>
                <c:pt idx="234">
                  <c:v>69.650000000000006</c:v>
                </c:pt>
                <c:pt idx="235">
                  <c:v>67.959999999999994</c:v>
                </c:pt>
                <c:pt idx="236">
                  <c:v>70.599999999999994</c:v>
                </c:pt>
                <c:pt idx="237">
                  <c:v>69.930000000000007</c:v>
                </c:pt>
                <c:pt idx="238">
                  <c:v>69.62</c:v>
                </c:pt>
                <c:pt idx="239">
                  <c:v>67.099999999999994</c:v>
                </c:pt>
                <c:pt idx="240">
                  <c:v>70.290000000000006</c:v>
                </c:pt>
                <c:pt idx="241">
                  <c:v>76.02</c:v>
                </c:pt>
                <c:pt idx="242">
                  <c:v>74.31</c:v>
                </c:pt>
                <c:pt idx="243">
                  <c:v>68.989999999999995</c:v>
                </c:pt>
                <c:pt idx="244">
                  <c:v>67.53</c:v>
                </c:pt>
                <c:pt idx="245">
                  <c:v>66.790000000000006</c:v>
                </c:pt>
                <c:pt idx="246">
                  <c:v>65.849999999999994</c:v>
                </c:pt>
                <c:pt idx="247">
                  <c:v>68.260000000000005</c:v>
                </c:pt>
                <c:pt idx="248">
                  <c:v>68.650000000000006</c:v>
                </c:pt>
                <c:pt idx="249">
                  <c:v>71.290000000000006</c:v>
                </c:pt>
                <c:pt idx="250">
                  <c:v>69.86</c:v>
                </c:pt>
                <c:pt idx="251">
                  <c:v>70.319999999999993</c:v>
                </c:pt>
                <c:pt idx="252">
                  <c:v>69.12</c:v>
                </c:pt>
                <c:pt idx="253">
                  <c:v>70.95</c:v>
                </c:pt>
                <c:pt idx="254">
                  <c:v>69.73</c:v>
                </c:pt>
                <c:pt idx="255">
                  <c:v>72.180000000000007</c:v>
                </c:pt>
                <c:pt idx="256">
                  <c:v>72.88</c:v>
                </c:pt>
                <c:pt idx="257">
                  <c:v>73.709999999999994</c:v>
                </c:pt>
                <c:pt idx="258">
                  <c:v>74.12</c:v>
                </c:pt>
                <c:pt idx="259">
                  <c:v>73.849999999999994</c:v>
                </c:pt>
                <c:pt idx="260">
                  <c:v>75.959999999999994</c:v>
                </c:pt>
                <c:pt idx="261">
                  <c:v>74.61</c:v>
                </c:pt>
                <c:pt idx="262">
                  <c:v>72.61</c:v>
                </c:pt>
                <c:pt idx="263">
                  <c:v>74.97</c:v>
                </c:pt>
                <c:pt idx="264">
                  <c:v>76.06</c:v>
                </c:pt>
                <c:pt idx="265">
                  <c:v>77.260000000000005</c:v>
                </c:pt>
                <c:pt idx="266">
                  <c:v>77.75</c:v>
                </c:pt>
                <c:pt idx="267">
                  <c:v>77.22</c:v>
                </c:pt>
                <c:pt idx="268">
                  <c:v>77.16</c:v>
                </c:pt>
                <c:pt idx="269">
                  <c:v>77.400000000000006</c:v>
                </c:pt>
                <c:pt idx="270">
                  <c:v>75.849999999999994</c:v>
                </c:pt>
                <c:pt idx="271">
                  <c:v>77.23</c:v>
                </c:pt>
                <c:pt idx="272">
                  <c:v>79.180000000000007</c:v>
                </c:pt>
                <c:pt idx="273">
                  <c:v>78.69</c:v>
                </c:pt>
                <c:pt idx="274">
                  <c:v>79.150000000000006</c:v>
                </c:pt>
                <c:pt idx="275">
                  <c:v>80.14</c:v>
                </c:pt>
                <c:pt idx="276">
                  <c:v>79.59</c:v>
                </c:pt>
                <c:pt idx="277">
                  <c:v>83.81</c:v>
                </c:pt>
                <c:pt idx="278">
                  <c:v>83.11</c:v>
                </c:pt>
                <c:pt idx="279">
                  <c:v>73.64</c:v>
                </c:pt>
                <c:pt idx="280">
                  <c:v>77.760000000000005</c:v>
                </c:pt>
                <c:pt idx="281">
                  <c:v>79.88</c:v>
                </c:pt>
                <c:pt idx="282">
                  <c:v>83.38</c:v>
                </c:pt>
                <c:pt idx="283">
                  <c:v>83.43</c:v>
                </c:pt>
                <c:pt idx="284">
                  <c:v>86.81</c:v>
                </c:pt>
                <c:pt idx="285">
                  <c:v>93.29</c:v>
                </c:pt>
                <c:pt idx="286">
                  <c:v>163.53</c:v>
                </c:pt>
                <c:pt idx="287">
                  <c:v>111.7</c:v>
                </c:pt>
                <c:pt idx="288">
                  <c:v>106.11</c:v>
                </c:pt>
                <c:pt idx="289">
                  <c:v>95.65</c:v>
                </c:pt>
                <c:pt idx="290">
                  <c:v>107.15</c:v>
                </c:pt>
                <c:pt idx="291">
                  <c:v>100.65</c:v>
                </c:pt>
                <c:pt idx="292">
                  <c:v>110.1</c:v>
                </c:pt>
                <c:pt idx="293">
                  <c:v>113.01</c:v>
                </c:pt>
                <c:pt idx="294">
                  <c:v>98.46</c:v>
                </c:pt>
                <c:pt idx="295">
                  <c:v>105.14</c:v>
                </c:pt>
                <c:pt idx="296">
                  <c:v>104.34</c:v>
                </c:pt>
                <c:pt idx="297">
                  <c:v>104.69</c:v>
                </c:pt>
                <c:pt idx="298">
                  <c:v>96.15</c:v>
                </c:pt>
                <c:pt idx="299">
                  <c:v>97.66</c:v>
                </c:pt>
                <c:pt idx="300">
                  <c:v>94.66</c:v>
                </c:pt>
                <c:pt idx="301">
                  <c:v>96.47</c:v>
                </c:pt>
                <c:pt idx="302">
                  <c:v>103.8</c:v>
                </c:pt>
                <c:pt idx="303">
                  <c:v>108.8</c:v>
                </c:pt>
                <c:pt idx="304">
                  <c:v>107.25</c:v>
                </c:pt>
                <c:pt idx="305">
                  <c:v>106.26</c:v>
                </c:pt>
                <c:pt idx="306">
                  <c:v>117.7</c:v>
                </c:pt>
                <c:pt idx="307">
                  <c:v>118.15</c:v>
                </c:pt>
                <c:pt idx="308">
                  <c:v>113.41</c:v>
                </c:pt>
                <c:pt idx="309">
                  <c:v>108.09</c:v>
                </c:pt>
                <c:pt idx="310">
                  <c:v>111.99</c:v>
                </c:pt>
                <c:pt idx="311">
                  <c:v>116.64</c:v>
                </c:pt>
                <c:pt idx="312">
                  <c:v>113.07</c:v>
                </c:pt>
                <c:pt idx="313">
                  <c:v>112.92</c:v>
                </c:pt>
                <c:pt idx="314">
                  <c:v>144.97999999999999</c:v>
                </c:pt>
                <c:pt idx="315">
                  <c:v>112.76</c:v>
                </c:pt>
                <c:pt idx="316">
                  <c:v>146.03</c:v>
                </c:pt>
                <c:pt idx="317">
                  <c:v>137.19999999999999</c:v>
                </c:pt>
                <c:pt idx="318">
                  <c:v>128.06</c:v>
                </c:pt>
                <c:pt idx="319">
                  <c:v>133.75</c:v>
                </c:pt>
                <c:pt idx="320">
                  <c:v>204.81</c:v>
                </c:pt>
                <c:pt idx="321">
                  <c:v>226.4</c:v>
                </c:pt>
                <c:pt idx="322">
                  <c:v>178.17</c:v>
                </c:pt>
                <c:pt idx="323">
                  <c:v>145.41</c:v>
                </c:pt>
                <c:pt idx="324">
                  <c:v>154.83000000000001</c:v>
                </c:pt>
                <c:pt idx="325">
                  <c:v>152.44999999999999</c:v>
                </c:pt>
                <c:pt idx="326">
                  <c:v>167.35</c:v>
                </c:pt>
                <c:pt idx="327">
                  <c:v>159.44999999999999</c:v>
                </c:pt>
                <c:pt idx="328">
                  <c:v>152.13999999999999</c:v>
                </c:pt>
                <c:pt idx="329">
                  <c:v>132.62</c:v>
                </c:pt>
                <c:pt idx="330">
                  <c:v>130.57</c:v>
                </c:pt>
                <c:pt idx="331">
                  <c:v>126.85</c:v>
                </c:pt>
                <c:pt idx="332">
                  <c:v>147.68</c:v>
                </c:pt>
                <c:pt idx="333">
                  <c:v>138.59</c:v>
                </c:pt>
                <c:pt idx="334">
                  <c:v>139.93</c:v>
                </c:pt>
                <c:pt idx="335">
                  <c:v>128.1</c:v>
                </c:pt>
                <c:pt idx="336">
                  <c:v>125.34</c:v>
                </c:pt>
                <c:pt idx="337">
                  <c:v>126.71</c:v>
                </c:pt>
                <c:pt idx="338">
                  <c:v>128.59</c:v>
                </c:pt>
                <c:pt idx="339">
                  <c:v>129.16</c:v>
                </c:pt>
                <c:pt idx="340">
                  <c:v>129.99</c:v>
                </c:pt>
                <c:pt idx="341">
                  <c:v>131.56</c:v>
                </c:pt>
                <c:pt idx="342">
                  <c:v>128.16</c:v>
                </c:pt>
                <c:pt idx="343">
                  <c:v>202.34</c:v>
                </c:pt>
                <c:pt idx="344">
                  <c:v>156.06</c:v>
                </c:pt>
                <c:pt idx="345">
                  <c:v>134.66</c:v>
                </c:pt>
                <c:pt idx="346">
                  <c:v>148.46</c:v>
                </c:pt>
                <c:pt idx="347">
                  <c:v>136.66999999999999</c:v>
                </c:pt>
                <c:pt idx="348">
                  <c:v>132.62</c:v>
                </c:pt>
                <c:pt idx="349">
                  <c:v>135.72</c:v>
                </c:pt>
                <c:pt idx="350">
                  <c:v>137.18</c:v>
                </c:pt>
                <c:pt idx="351">
                  <c:v>137.62</c:v>
                </c:pt>
                <c:pt idx="352">
                  <c:v>139.07</c:v>
                </c:pt>
                <c:pt idx="353">
                  <c:v>140.62</c:v>
                </c:pt>
                <c:pt idx="354">
                  <c:v>140.09</c:v>
                </c:pt>
                <c:pt idx="355">
                  <c:v>143.22</c:v>
                </c:pt>
                <c:pt idx="356">
                  <c:v>150.03</c:v>
                </c:pt>
                <c:pt idx="357">
                  <c:v>144.33000000000001</c:v>
                </c:pt>
                <c:pt idx="358">
                  <c:v>144.38999999999999</c:v>
                </c:pt>
                <c:pt idx="359">
                  <c:v>146.86000000000001</c:v>
                </c:pt>
                <c:pt idx="360">
                  <c:v>144.87</c:v>
                </c:pt>
                <c:pt idx="361">
                  <c:v>147.63</c:v>
                </c:pt>
                <c:pt idx="362">
                  <c:v>146.86000000000001</c:v>
                </c:pt>
                <c:pt idx="363">
                  <c:v>148.81</c:v>
                </c:pt>
                <c:pt idx="364">
                  <c:v>148.83000000000001</c:v>
                </c:pt>
                <c:pt idx="365">
                  <c:v>150.53</c:v>
                </c:pt>
                <c:pt idx="366">
                  <c:v>149.44999999999999</c:v>
                </c:pt>
                <c:pt idx="367">
                  <c:v>154.71</c:v>
                </c:pt>
                <c:pt idx="368">
                  <c:v>158.30000000000001</c:v>
                </c:pt>
                <c:pt idx="369">
                  <c:v>154.26</c:v>
                </c:pt>
                <c:pt idx="370">
                  <c:v>164.02</c:v>
                </c:pt>
                <c:pt idx="371">
                  <c:v>159.9</c:v>
                </c:pt>
                <c:pt idx="372">
                  <c:v>156.78</c:v>
                </c:pt>
                <c:pt idx="373">
                  <c:v>156.28</c:v>
                </c:pt>
                <c:pt idx="374">
                  <c:v>158.55000000000001</c:v>
                </c:pt>
                <c:pt idx="375">
                  <c:v>156.35</c:v>
                </c:pt>
                <c:pt idx="376">
                  <c:v>159.18</c:v>
                </c:pt>
                <c:pt idx="377">
                  <c:v>157.86000000000001</c:v>
                </c:pt>
                <c:pt idx="378">
                  <c:v>158.15</c:v>
                </c:pt>
                <c:pt idx="379">
                  <c:v>161.01</c:v>
                </c:pt>
                <c:pt idx="380">
                  <c:v>166.46</c:v>
                </c:pt>
                <c:pt idx="381">
                  <c:v>166.75</c:v>
                </c:pt>
                <c:pt idx="382">
                  <c:v>169.82</c:v>
                </c:pt>
                <c:pt idx="383">
                  <c:v>179.81</c:v>
                </c:pt>
                <c:pt idx="384">
                  <c:v>180.43</c:v>
                </c:pt>
                <c:pt idx="385">
                  <c:v>190.19</c:v>
                </c:pt>
                <c:pt idx="386">
                  <c:v>194.17</c:v>
                </c:pt>
                <c:pt idx="387">
                  <c:v>197.42</c:v>
                </c:pt>
                <c:pt idx="388">
                  <c:v>196.99</c:v>
                </c:pt>
                <c:pt idx="389">
                  <c:v>207.14</c:v>
                </c:pt>
                <c:pt idx="390">
                  <c:v>209.66</c:v>
                </c:pt>
                <c:pt idx="391">
                  <c:v>211.81</c:v>
                </c:pt>
                <c:pt idx="392">
                  <c:v>211.58</c:v>
                </c:pt>
                <c:pt idx="393">
                  <c:v>319.58999999999997</c:v>
                </c:pt>
                <c:pt idx="394">
                  <c:v>238.37</c:v>
                </c:pt>
                <c:pt idx="395">
                  <c:v>228.3</c:v>
                </c:pt>
                <c:pt idx="396">
                  <c:v>239.22</c:v>
                </c:pt>
                <c:pt idx="397">
                  <c:v>235.57</c:v>
                </c:pt>
                <c:pt idx="398">
                  <c:v>241.08</c:v>
                </c:pt>
                <c:pt idx="399">
                  <c:v>247.41</c:v>
                </c:pt>
                <c:pt idx="400">
                  <c:v>266.76</c:v>
                </c:pt>
                <c:pt idx="401">
                  <c:v>286.77</c:v>
                </c:pt>
                <c:pt idx="402">
                  <c:v>310.88</c:v>
                </c:pt>
                <c:pt idx="403">
                  <c:v>331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D6-416D-94BA-DD5C364BA4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8658063"/>
        <c:axId val="1438661423"/>
      </c:scatterChart>
      <c:valAx>
        <c:axId val="14386580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8661423"/>
        <c:crosses val="autoZero"/>
        <c:crossBetween val="midCat"/>
      </c:valAx>
      <c:valAx>
        <c:axId val="143866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4386580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chemeClr val="tx2">
          <a:lumMod val="90000"/>
          <a:lumOff val="10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plotArea>
      <cx:plotAreaRegion>
        <cx:series layoutId="boxWhisker" uniqueId="{9E3D4175-0A3B-4B82-97DE-ACE708BBA06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  <cx:spPr>
    <a:ln w="28575">
      <a:solidFill>
        <a:schemeClr val="tx2">
          <a:lumMod val="90000"/>
          <a:lumOff val="10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3E845B3A-8B09-4058-8DA3-061041B1082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 w="28575">
      <a:solidFill>
        <a:schemeClr val="tx2">
          <a:lumMod val="90000"/>
          <a:lumOff val="10000"/>
        </a:schemeClr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F51A245E-1D20-4F08-893C-4482A85DEC0A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 w="28575">
      <a:solidFill>
        <a:schemeClr val="accent3">
          <a:lumMod val="50000"/>
        </a:schemeClr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30</xdr:row>
      <xdr:rowOff>9524</xdr:rowOff>
    </xdr:from>
    <xdr:to>
      <xdr:col>5</xdr:col>
      <xdr:colOff>9525</xdr:colOff>
      <xdr:row>44</xdr:row>
      <xdr:rowOff>247649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Gráfico 12">
              <a:extLst>
                <a:ext uri="{FF2B5EF4-FFF2-40B4-BE49-F238E27FC236}">
                  <a16:creationId xmlns:a16="http://schemas.microsoft.com/office/drawing/2014/main" id="{83DF5924-8C79-104C-3BAC-DF700DB178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5" y="7439024"/>
              <a:ext cx="3124200" cy="37052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2</xdr:col>
      <xdr:colOff>1381124</xdr:colOff>
      <xdr:row>9</xdr:row>
      <xdr:rowOff>0</xdr:rowOff>
    </xdr:from>
    <xdr:to>
      <xdr:col>10</xdr:col>
      <xdr:colOff>0</xdr:colOff>
      <xdr:row>20</xdr:row>
      <xdr:rowOff>23812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D54E715-E3F1-3E05-CED1-0D7DD9F51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104774</xdr:colOff>
      <xdr:row>30</xdr:row>
      <xdr:rowOff>14286</xdr:rowOff>
    </xdr:from>
    <xdr:to>
      <xdr:col>10</xdr:col>
      <xdr:colOff>9525</xdr:colOff>
      <xdr:row>44</xdr:row>
      <xdr:rowOff>247649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5" name="Gráfico 14">
              <a:extLst>
                <a:ext uri="{FF2B5EF4-FFF2-40B4-BE49-F238E27FC236}">
                  <a16:creationId xmlns:a16="http://schemas.microsoft.com/office/drawing/2014/main" id="{32430096-A81B-8F00-0B50-2F0739B4210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96024" y="7443786"/>
              <a:ext cx="7162801" cy="370046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5</xdr:col>
      <xdr:colOff>0</xdr:colOff>
      <xdr:row>46</xdr:row>
      <xdr:rowOff>4762</xdr:rowOff>
    </xdr:from>
    <xdr:to>
      <xdr:col>10</xdr:col>
      <xdr:colOff>0</xdr:colOff>
      <xdr:row>57</xdr:row>
      <xdr:rowOff>23812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6" name="Gráfico 15">
              <a:extLst>
                <a:ext uri="{FF2B5EF4-FFF2-40B4-BE49-F238E27FC236}">
                  <a16:creationId xmlns:a16="http://schemas.microsoft.com/office/drawing/2014/main" id="{DE53106B-B3E3-0C69-A36B-04643DF6D9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91250" y="11396662"/>
              <a:ext cx="72580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F3BFFCC-0466-4DB5-A417-02F473A438C0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C06078-9BA2-498D-AFEC-244D135AC8AD}" name="Resultados" displayName="Resultados" ref="A1:B405" tableType="queryTable" totalsRowShown="0" headerRowDxfId="3" dataDxfId="2" headerRowBorderDxfId="7" tableBorderDxfId="8" totalsRowBorderDxfId="6">
  <autoFilter ref="A1:B405" xr:uid="{42C06078-9BA2-498D-AFEC-244D135AC8AD}"/>
  <tableColumns count="2">
    <tableColumn id="1" xr3:uid="{A4E641B5-39FA-44EB-8122-42753258DADF}" uniqueName="1" name="Tamanio" queryTableFieldId="1" dataDxfId="5"/>
    <tableColumn id="2" xr3:uid="{6090C9E2-1514-40C6-BBD4-7F2E3EF58CAA}" uniqueName="2" name="Tiempo" queryTableFieldId="2" dataDxfId="4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5150B-95BA-4D33-A36A-04AC0302C523}">
  <dimension ref="A1:I405"/>
  <sheetViews>
    <sheetView tabSelected="1" zoomScale="85" zoomScaleNormal="85" workbookViewId="0">
      <selection activeCell="K20" sqref="K20"/>
    </sheetView>
  </sheetViews>
  <sheetFormatPr baseColWidth="10" defaultColWidth="20.7109375" defaultRowHeight="20.100000000000001" customHeight="1" x14ac:dyDescent="0.25"/>
  <cols>
    <col min="1" max="1" width="13.140625" style="12" bestFit="1" customWidth="1"/>
    <col min="2" max="2" width="12.28515625" style="3" bestFit="1" customWidth="1"/>
    <col min="3" max="3" width="20.7109375" style="3"/>
    <col min="4" max="4" width="26" style="3" bestFit="1" customWidth="1"/>
    <col min="5" max="6" width="20.7109375" style="3"/>
    <col min="7" max="7" width="26" style="3" bestFit="1" customWidth="1"/>
    <col min="8" max="8" width="20.7109375" style="3"/>
    <col min="9" max="9" width="35.28515625" style="3" bestFit="1" customWidth="1"/>
    <col min="10" max="16384" width="20.7109375" style="3"/>
  </cols>
  <sheetData>
    <row r="1" spans="1:8" ht="20.100000000000001" customHeight="1" thickBot="1" x14ac:dyDescent="0.3">
      <c r="A1" s="1" t="s">
        <v>10</v>
      </c>
      <c r="B1" s="2" t="s">
        <v>11</v>
      </c>
    </row>
    <row r="2" spans="1:8" ht="20.100000000000001" customHeight="1" thickBot="1" x14ac:dyDescent="0.3">
      <c r="A2" s="4">
        <v>1</v>
      </c>
      <c r="B2" s="5">
        <v>7.0000000000000007E-2</v>
      </c>
      <c r="D2" s="6" t="s">
        <v>14</v>
      </c>
      <c r="E2" s="6"/>
      <c r="G2" s="7" t="s">
        <v>12</v>
      </c>
      <c r="H2" s="7"/>
    </row>
    <row r="3" spans="1:8" ht="20.100000000000001" customHeight="1" thickBot="1" x14ac:dyDescent="0.3">
      <c r="A3" s="4">
        <v>2</v>
      </c>
      <c r="B3" s="5">
        <v>0.19</v>
      </c>
      <c r="D3" s="8" t="s">
        <v>9</v>
      </c>
      <c r="E3" s="9">
        <f>AVERAGE(Resultados[Tamanio])</f>
        <v>792.0792079207921</v>
      </c>
      <c r="G3" s="8" t="s">
        <v>9</v>
      </c>
      <c r="H3" s="9">
        <f>AVERAGE(Resultados[Tiempo])</f>
        <v>67.589183168316822</v>
      </c>
    </row>
    <row r="4" spans="1:8" ht="20.100000000000001" customHeight="1" thickBot="1" x14ac:dyDescent="0.3">
      <c r="A4" s="4">
        <v>3</v>
      </c>
      <c r="B4" s="5">
        <v>0.24</v>
      </c>
      <c r="D4" s="8" t="s">
        <v>0</v>
      </c>
      <c r="E4" s="9">
        <f>MEDIAN(Resultados[Tamanio])</f>
        <v>612.5</v>
      </c>
      <c r="G4" s="8" t="s">
        <v>0</v>
      </c>
      <c r="H4" s="9">
        <f>MEDIAN(Resultados[Tiempo])</f>
        <v>49.704999999999998</v>
      </c>
    </row>
    <row r="5" spans="1:8" ht="20.100000000000001" customHeight="1" thickBot="1" x14ac:dyDescent="0.3">
      <c r="A5" s="4">
        <v>4</v>
      </c>
      <c r="B5" s="5">
        <v>0.32</v>
      </c>
      <c r="D5" s="8" t="s">
        <v>13</v>
      </c>
      <c r="E5" s="9">
        <f>_xlfn.STDEV.S(Resultados[Tamanio])</f>
        <v>756.86068594484391</v>
      </c>
      <c r="G5" s="8" t="s">
        <v>13</v>
      </c>
      <c r="H5" s="9">
        <f>_xlfn.STDEV.S(Resultados[Tiempo])</f>
        <v>65.570727124675642</v>
      </c>
    </row>
    <row r="6" spans="1:8" ht="20.100000000000001" customHeight="1" thickBot="1" x14ac:dyDescent="0.3">
      <c r="A6" s="4">
        <v>5</v>
      </c>
      <c r="B6" s="5">
        <v>0.45</v>
      </c>
      <c r="D6" s="8" t="s">
        <v>1</v>
      </c>
      <c r="E6" s="9">
        <f>MIN(Resultados[Tamanio])</f>
        <v>1</v>
      </c>
      <c r="G6" s="8" t="s">
        <v>1</v>
      </c>
      <c r="H6" s="9">
        <f>MIN(Resultados[Tiempo])</f>
        <v>7.0000000000000007E-2</v>
      </c>
    </row>
    <row r="7" spans="1:8" ht="20.100000000000001" customHeight="1" thickBot="1" x14ac:dyDescent="0.3">
      <c r="A7" s="4">
        <v>6</v>
      </c>
      <c r="B7" s="5">
        <v>0.49</v>
      </c>
      <c r="D7" s="8" t="s">
        <v>2</v>
      </c>
      <c r="E7" s="9">
        <f>MAX(Resultados[Tamanio])</f>
        <v>4000</v>
      </c>
      <c r="G7" s="8" t="s">
        <v>2</v>
      </c>
      <c r="H7" s="9">
        <f>MAX(Resultados[Tiempo])</f>
        <v>331</v>
      </c>
    </row>
    <row r="8" spans="1:8" ht="20.100000000000001" customHeight="1" thickBot="1" x14ac:dyDescent="0.3">
      <c r="A8" s="4">
        <v>7</v>
      </c>
      <c r="B8" s="5">
        <v>0.52</v>
      </c>
      <c r="D8" s="8" t="s">
        <v>3</v>
      </c>
      <c r="E8" s="9">
        <f>E7-E6</f>
        <v>3999</v>
      </c>
      <c r="G8" s="8" t="s">
        <v>3</v>
      </c>
      <c r="H8" s="9">
        <f>H7-H6</f>
        <v>330.93</v>
      </c>
    </row>
    <row r="9" spans="1:8" ht="20.100000000000001" customHeight="1" thickBot="1" x14ac:dyDescent="0.3">
      <c r="A9" s="4">
        <v>8</v>
      </c>
      <c r="B9" s="5">
        <v>0.64</v>
      </c>
    </row>
    <row r="10" spans="1:8" ht="20.100000000000001" customHeight="1" thickBot="1" x14ac:dyDescent="0.3">
      <c r="A10" s="4">
        <v>9</v>
      </c>
      <c r="B10" s="5">
        <v>0.66</v>
      </c>
    </row>
    <row r="11" spans="1:8" ht="20.100000000000001" customHeight="1" thickBot="1" x14ac:dyDescent="0.3">
      <c r="A11" s="4">
        <v>10</v>
      </c>
      <c r="B11" s="5">
        <v>0.81</v>
      </c>
    </row>
    <row r="12" spans="1:8" ht="20.100000000000001" customHeight="1" thickBot="1" x14ac:dyDescent="0.3">
      <c r="A12" s="4">
        <v>11</v>
      </c>
      <c r="B12" s="5">
        <v>1.29</v>
      </c>
    </row>
    <row r="13" spans="1:8" ht="20.100000000000001" customHeight="1" thickBot="1" x14ac:dyDescent="0.3">
      <c r="A13" s="4">
        <v>12</v>
      </c>
      <c r="B13" s="5">
        <v>0.93</v>
      </c>
    </row>
    <row r="14" spans="1:8" ht="20.100000000000001" customHeight="1" thickBot="1" x14ac:dyDescent="0.3">
      <c r="A14" s="4">
        <v>13</v>
      </c>
      <c r="B14" s="5">
        <v>1.1000000000000001</v>
      </c>
    </row>
    <row r="15" spans="1:8" ht="20.100000000000001" customHeight="1" thickBot="1" x14ac:dyDescent="0.3">
      <c r="A15" s="4">
        <v>14</v>
      </c>
      <c r="B15" s="5">
        <v>1.56</v>
      </c>
    </row>
    <row r="16" spans="1:8" ht="20.100000000000001" customHeight="1" thickBot="1" x14ac:dyDescent="0.3">
      <c r="A16" s="4">
        <v>15</v>
      </c>
      <c r="B16" s="5">
        <v>1.66</v>
      </c>
    </row>
    <row r="17" spans="1:9" ht="20.100000000000001" customHeight="1" thickBot="1" x14ac:dyDescent="0.3">
      <c r="A17" s="4">
        <v>16</v>
      </c>
      <c r="B17" s="5">
        <v>1.25</v>
      </c>
    </row>
    <row r="18" spans="1:9" ht="20.100000000000001" customHeight="1" thickBot="1" x14ac:dyDescent="0.3">
      <c r="A18" s="4">
        <v>17</v>
      </c>
      <c r="B18" s="5">
        <v>1.29</v>
      </c>
    </row>
    <row r="19" spans="1:9" ht="20.100000000000001" customHeight="1" thickBot="1" x14ac:dyDescent="0.3">
      <c r="A19" s="4">
        <v>18</v>
      </c>
      <c r="B19" s="5">
        <v>1.77</v>
      </c>
    </row>
    <row r="20" spans="1:9" ht="20.100000000000001" customHeight="1" thickBot="1" x14ac:dyDescent="0.3">
      <c r="A20" s="4">
        <v>19</v>
      </c>
      <c r="B20" s="5">
        <v>1.53</v>
      </c>
    </row>
    <row r="21" spans="1:9" ht="20.100000000000001" customHeight="1" thickBot="1" x14ac:dyDescent="0.3">
      <c r="A21" s="4">
        <v>20</v>
      </c>
      <c r="B21" s="5">
        <v>1.46</v>
      </c>
    </row>
    <row r="22" spans="1:9" ht="20.100000000000001" customHeight="1" thickBot="1" x14ac:dyDescent="0.3">
      <c r="A22" s="4">
        <v>21</v>
      </c>
      <c r="B22" s="5">
        <v>1.78</v>
      </c>
      <c r="D22" s="14" t="s">
        <v>17</v>
      </c>
      <c r="E22" s="14"/>
      <c r="I22" s="15" t="s">
        <v>18</v>
      </c>
    </row>
    <row r="23" spans="1:9" ht="20.100000000000001" customHeight="1" thickBot="1" x14ac:dyDescent="0.3">
      <c r="A23" s="4">
        <v>22</v>
      </c>
      <c r="B23" s="5">
        <v>1.86</v>
      </c>
      <c r="D23" s="13" t="s">
        <v>4</v>
      </c>
      <c r="E23" s="9">
        <f>_xlfn.QUARTILE.INC(Resultados[Tiempo],1)</f>
        <v>8.6974999999999998</v>
      </c>
      <c r="I23" s="9">
        <f>CORREL(Resultados[Tamanio],Resultados[Tiempo])</f>
        <v>0.98350546066255196</v>
      </c>
    </row>
    <row r="24" spans="1:9" ht="20.100000000000001" customHeight="1" thickBot="1" x14ac:dyDescent="0.3">
      <c r="A24" s="4">
        <v>23</v>
      </c>
      <c r="B24" s="5">
        <v>1.69</v>
      </c>
      <c r="D24" s="13" t="s">
        <v>5</v>
      </c>
      <c r="E24" s="9">
        <f>_xlfn.QUARTILE.INC(Resultados[Tiempo],2)</f>
        <v>49.704999999999998</v>
      </c>
    </row>
    <row r="25" spans="1:9" ht="20.100000000000001" customHeight="1" thickBot="1" x14ac:dyDescent="0.3">
      <c r="A25" s="4">
        <v>24</v>
      </c>
      <c r="B25" s="5">
        <v>1.77</v>
      </c>
      <c r="D25" s="13" t="s">
        <v>6</v>
      </c>
      <c r="E25" s="9">
        <f>_xlfn.QUARTILE.INC(Resultados[Tiempo],3)</f>
        <v>109.125</v>
      </c>
    </row>
    <row r="26" spans="1:9" ht="20.100000000000001" customHeight="1" thickBot="1" x14ac:dyDescent="0.3">
      <c r="A26" s="4">
        <v>25</v>
      </c>
      <c r="B26" s="5">
        <v>1.95</v>
      </c>
      <c r="D26" s="13" t="s">
        <v>7</v>
      </c>
      <c r="E26" s="9">
        <f>E25-E23</f>
        <v>100.42749999999999</v>
      </c>
    </row>
    <row r="27" spans="1:9" ht="20.100000000000001" customHeight="1" thickBot="1" x14ac:dyDescent="0.3">
      <c r="A27" s="4">
        <v>26</v>
      </c>
      <c r="B27" s="5">
        <v>2.14</v>
      </c>
      <c r="D27" s="14" t="s">
        <v>8</v>
      </c>
      <c r="E27" s="14"/>
    </row>
    <row r="28" spans="1:9" ht="20.100000000000001" customHeight="1" thickBot="1" x14ac:dyDescent="0.3">
      <c r="A28" s="4">
        <v>27</v>
      </c>
      <c r="B28" s="5">
        <v>1.95</v>
      </c>
      <c r="D28" s="13" t="s">
        <v>15</v>
      </c>
      <c r="E28" s="9">
        <f>E23-1.5*$E$26</f>
        <v>-141.94374999999999</v>
      </c>
    </row>
    <row r="29" spans="1:9" ht="20.100000000000001" customHeight="1" thickBot="1" x14ac:dyDescent="0.3">
      <c r="A29" s="4">
        <v>28</v>
      </c>
      <c r="B29" s="5">
        <v>2.16</v>
      </c>
      <c r="D29" s="13" t="s">
        <v>16</v>
      </c>
      <c r="E29" s="9">
        <f>E25+1.5*$E$26</f>
        <v>259.76625000000001</v>
      </c>
    </row>
    <row r="30" spans="1:9" ht="20.100000000000001" customHeight="1" thickBot="1" x14ac:dyDescent="0.3">
      <c r="A30" s="4">
        <v>29</v>
      </c>
      <c r="B30" s="5">
        <v>2.25</v>
      </c>
    </row>
    <row r="31" spans="1:9" ht="20.100000000000001" customHeight="1" thickBot="1" x14ac:dyDescent="0.3">
      <c r="A31" s="4">
        <v>30</v>
      </c>
      <c r="B31" s="5">
        <v>2.3199999999999998</v>
      </c>
    </row>
    <row r="32" spans="1:9" ht="20.100000000000001" customHeight="1" thickBot="1" x14ac:dyDescent="0.3">
      <c r="A32" s="4">
        <v>31</v>
      </c>
      <c r="B32" s="5">
        <v>2.87</v>
      </c>
    </row>
    <row r="33" spans="1:2" ht="20.100000000000001" customHeight="1" thickBot="1" x14ac:dyDescent="0.3">
      <c r="A33" s="4">
        <v>32</v>
      </c>
      <c r="B33" s="5">
        <v>2.5099999999999998</v>
      </c>
    </row>
    <row r="34" spans="1:2" ht="20.100000000000001" customHeight="1" thickBot="1" x14ac:dyDescent="0.3">
      <c r="A34" s="4">
        <v>33</v>
      </c>
      <c r="B34" s="5">
        <v>2.4700000000000002</v>
      </c>
    </row>
    <row r="35" spans="1:2" ht="20.100000000000001" customHeight="1" thickBot="1" x14ac:dyDescent="0.3">
      <c r="A35" s="4">
        <v>34</v>
      </c>
      <c r="B35" s="5">
        <v>2.56</v>
      </c>
    </row>
    <row r="36" spans="1:2" ht="20.100000000000001" customHeight="1" thickBot="1" x14ac:dyDescent="0.3">
      <c r="A36" s="4">
        <v>35</v>
      </c>
      <c r="B36" s="5">
        <v>2.5</v>
      </c>
    </row>
    <row r="37" spans="1:2" ht="20.100000000000001" customHeight="1" thickBot="1" x14ac:dyDescent="0.3">
      <c r="A37" s="4">
        <v>36</v>
      </c>
      <c r="B37" s="5">
        <v>2.94</v>
      </c>
    </row>
    <row r="38" spans="1:2" ht="20.100000000000001" customHeight="1" thickBot="1" x14ac:dyDescent="0.3">
      <c r="A38" s="4">
        <v>37</v>
      </c>
      <c r="B38" s="5">
        <v>2.94</v>
      </c>
    </row>
    <row r="39" spans="1:2" ht="20.100000000000001" customHeight="1" thickBot="1" x14ac:dyDescent="0.3">
      <c r="A39" s="4">
        <v>38</v>
      </c>
      <c r="B39" s="5">
        <v>2.91</v>
      </c>
    </row>
    <row r="40" spans="1:2" ht="20.100000000000001" customHeight="1" thickBot="1" x14ac:dyDescent="0.3">
      <c r="A40" s="4">
        <v>39</v>
      </c>
      <c r="B40" s="5">
        <v>3.16</v>
      </c>
    </row>
    <row r="41" spans="1:2" ht="20.100000000000001" customHeight="1" thickBot="1" x14ac:dyDescent="0.3">
      <c r="A41" s="4">
        <v>40</v>
      </c>
      <c r="B41" s="5">
        <v>3.14</v>
      </c>
    </row>
    <row r="42" spans="1:2" ht="20.100000000000001" customHeight="1" thickBot="1" x14ac:dyDescent="0.3">
      <c r="A42" s="4">
        <v>41</v>
      </c>
      <c r="B42" s="5">
        <v>2.97</v>
      </c>
    </row>
    <row r="43" spans="1:2" ht="20.100000000000001" customHeight="1" thickBot="1" x14ac:dyDescent="0.3">
      <c r="A43" s="4">
        <v>42</v>
      </c>
      <c r="B43" s="5">
        <v>3.22</v>
      </c>
    </row>
    <row r="44" spans="1:2" ht="20.100000000000001" customHeight="1" thickBot="1" x14ac:dyDescent="0.3">
      <c r="A44" s="4">
        <v>43</v>
      </c>
      <c r="B44" s="5">
        <v>3.37</v>
      </c>
    </row>
    <row r="45" spans="1:2" ht="20.100000000000001" customHeight="1" thickBot="1" x14ac:dyDescent="0.3">
      <c r="A45" s="4">
        <v>44</v>
      </c>
      <c r="B45" s="5">
        <v>3.23</v>
      </c>
    </row>
    <row r="46" spans="1:2" ht="20.100000000000001" customHeight="1" thickBot="1" x14ac:dyDescent="0.3">
      <c r="A46" s="4">
        <v>45</v>
      </c>
      <c r="B46" s="5">
        <v>3.48</v>
      </c>
    </row>
    <row r="47" spans="1:2" ht="20.100000000000001" customHeight="1" thickBot="1" x14ac:dyDescent="0.3">
      <c r="A47" s="4">
        <v>46</v>
      </c>
      <c r="B47" s="5">
        <v>3.43</v>
      </c>
    </row>
    <row r="48" spans="1:2" ht="20.100000000000001" customHeight="1" thickBot="1" x14ac:dyDescent="0.3">
      <c r="A48" s="4">
        <v>47</v>
      </c>
      <c r="B48" s="5">
        <v>3.78</v>
      </c>
    </row>
    <row r="49" spans="1:2" ht="20.100000000000001" customHeight="1" thickBot="1" x14ac:dyDescent="0.3">
      <c r="A49" s="4">
        <v>48</v>
      </c>
      <c r="B49" s="5">
        <v>3.52</v>
      </c>
    </row>
    <row r="50" spans="1:2" ht="20.100000000000001" customHeight="1" thickBot="1" x14ac:dyDescent="0.3">
      <c r="A50" s="4">
        <v>49</v>
      </c>
      <c r="B50" s="5">
        <v>3.72</v>
      </c>
    </row>
    <row r="51" spans="1:2" ht="20.100000000000001" customHeight="1" thickBot="1" x14ac:dyDescent="0.3">
      <c r="A51" s="4">
        <v>50</v>
      </c>
      <c r="B51" s="5">
        <v>3.85</v>
      </c>
    </row>
    <row r="52" spans="1:2" ht="20.100000000000001" customHeight="1" thickBot="1" x14ac:dyDescent="0.3">
      <c r="A52" s="4">
        <v>51</v>
      </c>
      <c r="B52" s="5">
        <v>4.0199999999999996</v>
      </c>
    </row>
    <row r="53" spans="1:2" ht="20.100000000000001" customHeight="1" thickBot="1" x14ac:dyDescent="0.3">
      <c r="A53" s="4">
        <v>52</v>
      </c>
      <c r="B53" s="5">
        <v>4.04</v>
      </c>
    </row>
    <row r="54" spans="1:2" ht="20.100000000000001" customHeight="1" thickBot="1" x14ac:dyDescent="0.3">
      <c r="A54" s="4">
        <v>53</v>
      </c>
      <c r="B54" s="5">
        <v>4.22</v>
      </c>
    </row>
    <row r="55" spans="1:2" ht="20.100000000000001" customHeight="1" thickBot="1" x14ac:dyDescent="0.3">
      <c r="A55" s="4">
        <v>54</v>
      </c>
      <c r="B55" s="5">
        <v>4</v>
      </c>
    </row>
    <row r="56" spans="1:2" ht="20.100000000000001" customHeight="1" thickBot="1" x14ac:dyDescent="0.3">
      <c r="A56" s="4">
        <v>55</v>
      </c>
      <c r="B56" s="5">
        <v>4.1500000000000004</v>
      </c>
    </row>
    <row r="57" spans="1:2" ht="20.100000000000001" customHeight="1" thickBot="1" x14ac:dyDescent="0.3">
      <c r="A57" s="4">
        <v>56</v>
      </c>
      <c r="B57" s="5">
        <v>4.3499999999999996</v>
      </c>
    </row>
    <row r="58" spans="1:2" ht="20.100000000000001" customHeight="1" thickBot="1" x14ac:dyDescent="0.3">
      <c r="A58" s="4">
        <v>57</v>
      </c>
      <c r="B58" s="5">
        <v>4.29</v>
      </c>
    </row>
    <row r="59" spans="1:2" ht="20.100000000000001" customHeight="1" thickBot="1" x14ac:dyDescent="0.3">
      <c r="A59" s="4">
        <v>58</v>
      </c>
      <c r="B59" s="5">
        <v>4.6399999999999997</v>
      </c>
    </row>
    <row r="60" spans="1:2" ht="20.100000000000001" customHeight="1" thickBot="1" x14ac:dyDescent="0.3">
      <c r="A60" s="4">
        <v>59</v>
      </c>
      <c r="B60" s="5">
        <v>4.7699999999999996</v>
      </c>
    </row>
    <row r="61" spans="1:2" ht="20.100000000000001" customHeight="1" thickBot="1" x14ac:dyDescent="0.3">
      <c r="A61" s="4">
        <v>60</v>
      </c>
      <c r="B61" s="5">
        <v>4.95</v>
      </c>
    </row>
    <row r="62" spans="1:2" ht="20.100000000000001" customHeight="1" thickBot="1" x14ac:dyDescent="0.3">
      <c r="A62" s="4">
        <v>61</v>
      </c>
      <c r="B62" s="5">
        <v>4.8499999999999996</v>
      </c>
    </row>
    <row r="63" spans="1:2" ht="20.100000000000001" customHeight="1" thickBot="1" x14ac:dyDescent="0.3">
      <c r="A63" s="4">
        <v>62</v>
      </c>
      <c r="B63" s="5">
        <v>4.8099999999999996</v>
      </c>
    </row>
    <row r="64" spans="1:2" ht="20.100000000000001" customHeight="1" thickBot="1" x14ac:dyDescent="0.3">
      <c r="A64" s="4">
        <v>63</v>
      </c>
      <c r="B64" s="5">
        <v>4.76</v>
      </c>
    </row>
    <row r="65" spans="1:2" ht="20.100000000000001" customHeight="1" thickBot="1" x14ac:dyDescent="0.3">
      <c r="A65" s="4">
        <v>64</v>
      </c>
      <c r="B65" s="5">
        <v>5.08</v>
      </c>
    </row>
    <row r="66" spans="1:2" ht="20.100000000000001" customHeight="1" thickBot="1" x14ac:dyDescent="0.3">
      <c r="A66" s="4">
        <v>65</v>
      </c>
      <c r="B66" s="5">
        <v>5.48</v>
      </c>
    </row>
    <row r="67" spans="1:2" ht="20.100000000000001" customHeight="1" thickBot="1" x14ac:dyDescent="0.3">
      <c r="A67" s="4">
        <v>66</v>
      </c>
      <c r="B67" s="5">
        <v>5.35</v>
      </c>
    </row>
    <row r="68" spans="1:2" ht="20.100000000000001" customHeight="1" thickBot="1" x14ac:dyDescent="0.3">
      <c r="A68" s="4">
        <v>67</v>
      </c>
      <c r="B68" s="5">
        <v>5.58</v>
      </c>
    </row>
    <row r="69" spans="1:2" ht="20.100000000000001" customHeight="1" thickBot="1" x14ac:dyDescent="0.3">
      <c r="A69" s="4">
        <v>68</v>
      </c>
      <c r="B69" s="5">
        <v>5.34</v>
      </c>
    </row>
    <row r="70" spans="1:2" ht="20.100000000000001" customHeight="1" thickBot="1" x14ac:dyDescent="0.3">
      <c r="A70" s="4">
        <v>69</v>
      </c>
      <c r="B70" s="5">
        <v>5.64</v>
      </c>
    </row>
    <row r="71" spans="1:2" ht="20.100000000000001" customHeight="1" thickBot="1" x14ac:dyDescent="0.3">
      <c r="A71" s="4">
        <v>70</v>
      </c>
      <c r="B71" s="5">
        <v>5.35</v>
      </c>
    </row>
    <row r="72" spans="1:2" ht="20.100000000000001" customHeight="1" thickBot="1" x14ac:dyDescent="0.3">
      <c r="A72" s="4">
        <v>71</v>
      </c>
      <c r="B72" s="5">
        <v>5.51</v>
      </c>
    </row>
    <row r="73" spans="1:2" ht="20.100000000000001" customHeight="1" thickBot="1" x14ac:dyDescent="0.3">
      <c r="A73" s="4">
        <v>72</v>
      </c>
      <c r="B73" s="5">
        <v>5.48</v>
      </c>
    </row>
    <row r="74" spans="1:2" ht="20.100000000000001" customHeight="1" thickBot="1" x14ac:dyDescent="0.3">
      <c r="A74" s="4">
        <v>73</v>
      </c>
      <c r="B74" s="5">
        <v>6.4</v>
      </c>
    </row>
    <row r="75" spans="1:2" ht="20.100000000000001" customHeight="1" thickBot="1" x14ac:dyDescent="0.3">
      <c r="A75" s="4">
        <v>74</v>
      </c>
      <c r="B75" s="5">
        <v>5.76</v>
      </c>
    </row>
    <row r="76" spans="1:2" ht="20.100000000000001" customHeight="1" thickBot="1" x14ac:dyDescent="0.3">
      <c r="A76" s="4">
        <v>75</v>
      </c>
      <c r="B76" s="5">
        <v>5.55</v>
      </c>
    </row>
    <row r="77" spans="1:2" ht="20.100000000000001" customHeight="1" thickBot="1" x14ac:dyDescent="0.3">
      <c r="A77" s="4">
        <v>76</v>
      </c>
      <c r="B77" s="5">
        <v>5.97</v>
      </c>
    </row>
    <row r="78" spans="1:2" ht="20.100000000000001" customHeight="1" thickBot="1" x14ac:dyDescent="0.3">
      <c r="A78" s="4">
        <v>77</v>
      </c>
      <c r="B78" s="5">
        <v>6.9</v>
      </c>
    </row>
    <row r="79" spans="1:2" ht="20.100000000000001" customHeight="1" thickBot="1" x14ac:dyDescent="0.3">
      <c r="A79" s="4">
        <v>78</v>
      </c>
      <c r="B79" s="5">
        <v>6.18</v>
      </c>
    </row>
    <row r="80" spans="1:2" ht="20.100000000000001" customHeight="1" thickBot="1" x14ac:dyDescent="0.3">
      <c r="A80" s="4">
        <v>79</v>
      </c>
      <c r="B80" s="5">
        <v>6.45</v>
      </c>
    </row>
    <row r="81" spans="1:2" ht="20.100000000000001" customHeight="1" thickBot="1" x14ac:dyDescent="0.3">
      <c r="A81" s="4">
        <v>80</v>
      </c>
      <c r="B81" s="5">
        <v>6.5</v>
      </c>
    </row>
    <row r="82" spans="1:2" ht="20.100000000000001" customHeight="1" thickBot="1" x14ac:dyDescent="0.3">
      <c r="A82" s="4">
        <v>81</v>
      </c>
      <c r="B82" s="5">
        <v>6.81</v>
      </c>
    </row>
    <row r="83" spans="1:2" ht="20.100000000000001" customHeight="1" thickBot="1" x14ac:dyDescent="0.3">
      <c r="A83" s="4">
        <v>82</v>
      </c>
      <c r="B83" s="5">
        <v>7.21</v>
      </c>
    </row>
    <row r="84" spans="1:2" ht="20.100000000000001" customHeight="1" thickBot="1" x14ac:dyDescent="0.3">
      <c r="A84" s="4">
        <v>83</v>
      </c>
      <c r="B84" s="5">
        <v>6.41</v>
      </c>
    </row>
    <row r="85" spans="1:2" ht="20.100000000000001" customHeight="1" thickBot="1" x14ac:dyDescent="0.3">
      <c r="A85" s="4">
        <v>84</v>
      </c>
      <c r="B85" s="5">
        <v>6.37</v>
      </c>
    </row>
    <row r="86" spans="1:2" ht="20.100000000000001" customHeight="1" thickBot="1" x14ac:dyDescent="0.3">
      <c r="A86" s="4">
        <v>85</v>
      </c>
      <c r="B86" s="5">
        <v>6.25</v>
      </c>
    </row>
    <row r="87" spans="1:2" ht="20.100000000000001" customHeight="1" thickBot="1" x14ac:dyDescent="0.3">
      <c r="A87" s="4">
        <v>86</v>
      </c>
      <c r="B87" s="5">
        <v>6.25</v>
      </c>
    </row>
    <row r="88" spans="1:2" ht="20.100000000000001" customHeight="1" thickBot="1" x14ac:dyDescent="0.3">
      <c r="A88" s="4">
        <v>87</v>
      </c>
      <c r="B88" s="5">
        <v>6.74</v>
      </c>
    </row>
    <row r="89" spans="1:2" ht="20.100000000000001" customHeight="1" thickBot="1" x14ac:dyDescent="0.3">
      <c r="A89" s="4">
        <v>88</v>
      </c>
      <c r="B89" s="5">
        <v>6.34</v>
      </c>
    </row>
    <row r="90" spans="1:2" ht="20.100000000000001" customHeight="1" thickBot="1" x14ac:dyDescent="0.3">
      <c r="A90" s="4">
        <v>89</v>
      </c>
      <c r="B90" s="5">
        <v>7.17</v>
      </c>
    </row>
    <row r="91" spans="1:2" ht="20.100000000000001" customHeight="1" thickBot="1" x14ac:dyDescent="0.3">
      <c r="A91" s="4">
        <v>90</v>
      </c>
      <c r="B91" s="5">
        <v>6.89</v>
      </c>
    </row>
    <row r="92" spans="1:2" ht="20.100000000000001" customHeight="1" thickBot="1" x14ac:dyDescent="0.3">
      <c r="A92" s="4">
        <v>91</v>
      </c>
      <c r="B92" s="5">
        <v>7.16</v>
      </c>
    </row>
    <row r="93" spans="1:2" ht="20.100000000000001" customHeight="1" thickBot="1" x14ac:dyDescent="0.3">
      <c r="A93" s="4">
        <v>92</v>
      </c>
      <c r="B93" s="5">
        <v>7.08</v>
      </c>
    </row>
    <row r="94" spans="1:2" ht="20.100000000000001" customHeight="1" thickBot="1" x14ac:dyDescent="0.3">
      <c r="A94" s="4">
        <v>93</v>
      </c>
      <c r="B94" s="5">
        <v>7.41</v>
      </c>
    </row>
    <row r="95" spans="1:2" ht="20.100000000000001" customHeight="1" thickBot="1" x14ac:dyDescent="0.3">
      <c r="A95" s="4">
        <v>94</v>
      </c>
      <c r="B95" s="5">
        <v>7.42</v>
      </c>
    </row>
    <row r="96" spans="1:2" ht="20.100000000000001" customHeight="1" thickBot="1" x14ac:dyDescent="0.3">
      <c r="A96" s="4">
        <v>95</v>
      </c>
      <c r="B96" s="5">
        <v>7.2</v>
      </c>
    </row>
    <row r="97" spans="1:2" ht="20.100000000000001" customHeight="1" thickBot="1" x14ac:dyDescent="0.3">
      <c r="A97" s="4">
        <v>96</v>
      </c>
      <c r="B97" s="5">
        <v>6.96</v>
      </c>
    </row>
    <row r="98" spans="1:2" ht="20.100000000000001" customHeight="1" thickBot="1" x14ac:dyDescent="0.3">
      <c r="A98" s="4">
        <v>97</v>
      </c>
      <c r="B98" s="5">
        <v>7.61</v>
      </c>
    </row>
    <row r="99" spans="1:2" ht="20.100000000000001" customHeight="1" thickBot="1" x14ac:dyDescent="0.3">
      <c r="A99" s="4">
        <v>98</v>
      </c>
      <c r="B99" s="5">
        <v>7.63</v>
      </c>
    </row>
    <row r="100" spans="1:2" ht="20.100000000000001" customHeight="1" thickBot="1" x14ac:dyDescent="0.3">
      <c r="A100" s="4">
        <v>99</v>
      </c>
      <c r="B100" s="5">
        <v>7.16</v>
      </c>
    </row>
    <row r="101" spans="1:2" ht="20.100000000000001" customHeight="1" thickBot="1" x14ac:dyDescent="0.3">
      <c r="A101" s="4">
        <v>100</v>
      </c>
      <c r="B101" s="5">
        <v>6.79</v>
      </c>
    </row>
    <row r="102" spans="1:2" ht="20.100000000000001" customHeight="1" thickBot="1" x14ac:dyDescent="0.3">
      <c r="A102" s="4">
        <v>105</v>
      </c>
      <c r="B102" s="5">
        <v>7.97</v>
      </c>
    </row>
    <row r="103" spans="1:2" ht="20.100000000000001" customHeight="1" thickBot="1" x14ac:dyDescent="0.3">
      <c r="A103" s="4">
        <v>110</v>
      </c>
      <c r="B103" s="5">
        <v>10.31</v>
      </c>
    </row>
    <row r="104" spans="1:2" ht="20.100000000000001" customHeight="1" thickBot="1" x14ac:dyDescent="0.3">
      <c r="A104" s="4">
        <v>115</v>
      </c>
      <c r="B104" s="5">
        <v>43.56</v>
      </c>
    </row>
    <row r="105" spans="1:2" ht="20.100000000000001" customHeight="1" thickBot="1" x14ac:dyDescent="0.3">
      <c r="A105" s="4">
        <v>120</v>
      </c>
      <c r="B105" s="5">
        <v>8.94</v>
      </c>
    </row>
    <row r="106" spans="1:2" ht="20.100000000000001" customHeight="1" thickBot="1" x14ac:dyDescent="0.3">
      <c r="A106" s="4">
        <v>125</v>
      </c>
      <c r="B106" s="5">
        <v>10.87</v>
      </c>
    </row>
    <row r="107" spans="1:2" ht="20.100000000000001" customHeight="1" thickBot="1" x14ac:dyDescent="0.3">
      <c r="A107" s="4">
        <v>130</v>
      </c>
      <c r="B107" s="5">
        <v>11.59</v>
      </c>
    </row>
    <row r="108" spans="1:2" ht="20.100000000000001" customHeight="1" thickBot="1" x14ac:dyDescent="0.3">
      <c r="A108" s="4">
        <v>135</v>
      </c>
      <c r="B108" s="5">
        <v>10.97</v>
      </c>
    </row>
    <row r="109" spans="1:2" ht="20.100000000000001" customHeight="1" thickBot="1" x14ac:dyDescent="0.3">
      <c r="A109" s="4">
        <v>140</v>
      </c>
      <c r="B109" s="5">
        <v>13.67</v>
      </c>
    </row>
    <row r="110" spans="1:2" ht="20.100000000000001" customHeight="1" thickBot="1" x14ac:dyDescent="0.3">
      <c r="A110" s="4">
        <v>145</v>
      </c>
      <c r="B110" s="5">
        <v>15.64</v>
      </c>
    </row>
    <row r="111" spans="1:2" ht="20.100000000000001" customHeight="1" thickBot="1" x14ac:dyDescent="0.3">
      <c r="A111" s="4">
        <v>150</v>
      </c>
      <c r="B111" s="5">
        <v>13.43</v>
      </c>
    </row>
    <row r="112" spans="1:2" ht="20.100000000000001" customHeight="1" thickBot="1" x14ac:dyDescent="0.3">
      <c r="A112" s="4">
        <v>155</v>
      </c>
      <c r="B112" s="5">
        <v>13.24</v>
      </c>
    </row>
    <row r="113" spans="1:2" ht="20.100000000000001" customHeight="1" thickBot="1" x14ac:dyDescent="0.3">
      <c r="A113" s="4">
        <v>160</v>
      </c>
      <c r="B113" s="5">
        <v>12.69</v>
      </c>
    </row>
    <row r="114" spans="1:2" ht="20.100000000000001" customHeight="1" thickBot="1" x14ac:dyDescent="0.3">
      <c r="A114" s="4">
        <v>165</v>
      </c>
      <c r="B114" s="5">
        <v>16.239999999999998</v>
      </c>
    </row>
    <row r="115" spans="1:2" ht="20.100000000000001" customHeight="1" thickBot="1" x14ac:dyDescent="0.3">
      <c r="A115" s="4">
        <v>170</v>
      </c>
      <c r="B115" s="5">
        <v>13.53</v>
      </c>
    </row>
    <row r="116" spans="1:2" ht="20.100000000000001" customHeight="1" thickBot="1" x14ac:dyDescent="0.3">
      <c r="A116" s="4">
        <v>175</v>
      </c>
      <c r="B116" s="5">
        <v>13.77</v>
      </c>
    </row>
    <row r="117" spans="1:2" ht="20.100000000000001" customHeight="1" thickBot="1" x14ac:dyDescent="0.3">
      <c r="A117" s="4">
        <v>180</v>
      </c>
      <c r="B117" s="5">
        <v>14.41</v>
      </c>
    </row>
    <row r="118" spans="1:2" ht="20.100000000000001" customHeight="1" thickBot="1" x14ac:dyDescent="0.3">
      <c r="A118" s="4">
        <v>185</v>
      </c>
      <c r="B118" s="5">
        <v>14.59</v>
      </c>
    </row>
    <row r="119" spans="1:2" ht="20.100000000000001" customHeight="1" thickBot="1" x14ac:dyDescent="0.3">
      <c r="A119" s="4">
        <v>190</v>
      </c>
      <c r="B119" s="5">
        <v>15.2</v>
      </c>
    </row>
    <row r="120" spans="1:2" ht="20.100000000000001" customHeight="1" thickBot="1" x14ac:dyDescent="0.3">
      <c r="A120" s="4">
        <v>195</v>
      </c>
      <c r="B120" s="5">
        <v>15.21</v>
      </c>
    </row>
    <row r="121" spans="1:2" ht="20.100000000000001" customHeight="1" thickBot="1" x14ac:dyDescent="0.3">
      <c r="A121" s="4">
        <v>200</v>
      </c>
      <c r="B121" s="5">
        <v>15.41</v>
      </c>
    </row>
    <row r="122" spans="1:2" ht="20.100000000000001" customHeight="1" thickBot="1" x14ac:dyDescent="0.3">
      <c r="A122" s="4">
        <v>205</v>
      </c>
      <c r="B122" s="5">
        <v>15.65</v>
      </c>
    </row>
    <row r="123" spans="1:2" ht="20.100000000000001" customHeight="1" thickBot="1" x14ac:dyDescent="0.3">
      <c r="A123" s="4">
        <v>210</v>
      </c>
      <c r="B123" s="5">
        <v>16.61</v>
      </c>
    </row>
    <row r="124" spans="1:2" ht="20.100000000000001" customHeight="1" thickBot="1" x14ac:dyDescent="0.3">
      <c r="A124" s="4">
        <v>215</v>
      </c>
      <c r="B124" s="5">
        <v>16.899999999999999</v>
      </c>
    </row>
    <row r="125" spans="1:2" ht="20.100000000000001" customHeight="1" thickBot="1" x14ac:dyDescent="0.3">
      <c r="A125" s="4">
        <v>220</v>
      </c>
      <c r="B125" s="5">
        <v>16.940000000000001</v>
      </c>
    </row>
    <row r="126" spans="1:2" ht="20.100000000000001" customHeight="1" thickBot="1" x14ac:dyDescent="0.3">
      <c r="A126" s="4">
        <v>225</v>
      </c>
      <c r="B126" s="5">
        <v>18.18</v>
      </c>
    </row>
    <row r="127" spans="1:2" ht="20.100000000000001" customHeight="1" thickBot="1" x14ac:dyDescent="0.3">
      <c r="A127" s="4">
        <v>230</v>
      </c>
      <c r="B127" s="5">
        <v>17.77</v>
      </c>
    </row>
    <row r="128" spans="1:2" ht="20.100000000000001" customHeight="1" thickBot="1" x14ac:dyDescent="0.3">
      <c r="A128" s="4">
        <v>235</v>
      </c>
      <c r="B128" s="5">
        <v>19.079999999999998</v>
      </c>
    </row>
    <row r="129" spans="1:2" ht="20.100000000000001" customHeight="1" thickBot="1" x14ac:dyDescent="0.3">
      <c r="A129" s="4">
        <v>240</v>
      </c>
      <c r="B129" s="5">
        <v>19.239999999999998</v>
      </c>
    </row>
    <row r="130" spans="1:2" ht="20.100000000000001" customHeight="1" thickBot="1" x14ac:dyDescent="0.3">
      <c r="A130" s="4">
        <v>245</v>
      </c>
      <c r="B130" s="5">
        <v>19.809999999999999</v>
      </c>
    </row>
    <row r="131" spans="1:2" ht="20.100000000000001" customHeight="1" thickBot="1" x14ac:dyDescent="0.3">
      <c r="A131" s="4">
        <v>250</v>
      </c>
      <c r="B131" s="5">
        <v>20.149999999999999</v>
      </c>
    </row>
    <row r="132" spans="1:2" ht="20.100000000000001" customHeight="1" thickBot="1" x14ac:dyDescent="0.3">
      <c r="A132" s="4">
        <v>255</v>
      </c>
      <c r="B132" s="5">
        <v>19.84</v>
      </c>
    </row>
    <row r="133" spans="1:2" ht="20.100000000000001" customHeight="1" thickBot="1" x14ac:dyDescent="0.3">
      <c r="A133" s="4">
        <v>260</v>
      </c>
      <c r="B133" s="5">
        <v>21.02</v>
      </c>
    </row>
    <row r="134" spans="1:2" ht="20.100000000000001" customHeight="1" thickBot="1" x14ac:dyDescent="0.3">
      <c r="A134" s="4">
        <v>265</v>
      </c>
      <c r="B134" s="5">
        <v>21.08</v>
      </c>
    </row>
    <row r="135" spans="1:2" ht="20.100000000000001" customHeight="1" thickBot="1" x14ac:dyDescent="0.3">
      <c r="A135" s="4">
        <v>270</v>
      </c>
      <c r="B135" s="5">
        <v>20.84</v>
      </c>
    </row>
    <row r="136" spans="1:2" ht="20.100000000000001" customHeight="1" thickBot="1" x14ac:dyDescent="0.3">
      <c r="A136" s="4">
        <v>275</v>
      </c>
      <c r="B136" s="5">
        <v>23.72</v>
      </c>
    </row>
    <row r="137" spans="1:2" ht="20.100000000000001" customHeight="1" thickBot="1" x14ac:dyDescent="0.3">
      <c r="A137" s="4">
        <v>280</v>
      </c>
      <c r="B137" s="5">
        <v>23.03</v>
      </c>
    </row>
    <row r="138" spans="1:2" ht="20.100000000000001" customHeight="1" thickBot="1" x14ac:dyDescent="0.3">
      <c r="A138" s="4">
        <v>285</v>
      </c>
      <c r="B138" s="5">
        <v>22.5</v>
      </c>
    </row>
    <row r="139" spans="1:2" ht="20.100000000000001" customHeight="1" thickBot="1" x14ac:dyDescent="0.3">
      <c r="A139" s="4">
        <v>290</v>
      </c>
      <c r="B139" s="5">
        <v>24.89</v>
      </c>
    </row>
    <row r="140" spans="1:2" ht="20.100000000000001" customHeight="1" thickBot="1" x14ac:dyDescent="0.3">
      <c r="A140" s="4">
        <v>295</v>
      </c>
      <c r="B140" s="5">
        <v>23.33</v>
      </c>
    </row>
    <row r="141" spans="1:2" ht="20.100000000000001" customHeight="1" thickBot="1" x14ac:dyDescent="0.3">
      <c r="A141" s="4">
        <v>300</v>
      </c>
      <c r="B141" s="5">
        <v>23.63</v>
      </c>
    </row>
    <row r="142" spans="1:2" ht="20.100000000000001" customHeight="1" thickBot="1" x14ac:dyDescent="0.3">
      <c r="A142" s="4">
        <v>305</v>
      </c>
      <c r="B142" s="5">
        <v>23.55</v>
      </c>
    </row>
    <row r="143" spans="1:2" ht="20.100000000000001" customHeight="1" thickBot="1" x14ac:dyDescent="0.3">
      <c r="A143" s="4">
        <v>310</v>
      </c>
      <c r="B143" s="5">
        <v>24.5</v>
      </c>
    </row>
    <row r="144" spans="1:2" ht="20.100000000000001" customHeight="1" thickBot="1" x14ac:dyDescent="0.3">
      <c r="A144" s="4">
        <v>315</v>
      </c>
      <c r="B144" s="5">
        <v>24.61</v>
      </c>
    </row>
    <row r="145" spans="1:2" ht="20.100000000000001" customHeight="1" thickBot="1" x14ac:dyDescent="0.3">
      <c r="A145" s="4">
        <v>320</v>
      </c>
      <c r="B145" s="5">
        <v>25.57</v>
      </c>
    </row>
    <row r="146" spans="1:2" ht="20.100000000000001" customHeight="1" thickBot="1" x14ac:dyDescent="0.3">
      <c r="A146" s="4">
        <v>325</v>
      </c>
      <c r="B146" s="5">
        <v>25.39</v>
      </c>
    </row>
    <row r="147" spans="1:2" ht="20.100000000000001" customHeight="1" thickBot="1" x14ac:dyDescent="0.3">
      <c r="A147" s="4">
        <v>330</v>
      </c>
      <c r="B147" s="5">
        <v>27.26</v>
      </c>
    </row>
    <row r="148" spans="1:2" ht="20.100000000000001" customHeight="1" thickBot="1" x14ac:dyDescent="0.3">
      <c r="A148" s="4">
        <v>335</v>
      </c>
      <c r="B148" s="5">
        <v>26.43</v>
      </c>
    </row>
    <row r="149" spans="1:2" ht="20.100000000000001" customHeight="1" thickBot="1" x14ac:dyDescent="0.3">
      <c r="A149" s="4">
        <v>340</v>
      </c>
      <c r="B149" s="5">
        <v>26.93</v>
      </c>
    </row>
    <row r="150" spans="1:2" ht="20.100000000000001" customHeight="1" thickBot="1" x14ac:dyDescent="0.3">
      <c r="A150" s="4">
        <v>345</v>
      </c>
      <c r="B150" s="5">
        <v>27.49</v>
      </c>
    </row>
    <row r="151" spans="1:2" ht="20.100000000000001" customHeight="1" thickBot="1" x14ac:dyDescent="0.3">
      <c r="A151" s="4">
        <v>350</v>
      </c>
      <c r="B151" s="5">
        <v>28.1</v>
      </c>
    </row>
    <row r="152" spans="1:2" ht="20.100000000000001" customHeight="1" thickBot="1" x14ac:dyDescent="0.3">
      <c r="A152" s="4">
        <v>355</v>
      </c>
      <c r="B152" s="5">
        <v>29.28</v>
      </c>
    </row>
    <row r="153" spans="1:2" ht="20.100000000000001" customHeight="1" thickBot="1" x14ac:dyDescent="0.3">
      <c r="A153" s="4">
        <v>360</v>
      </c>
      <c r="B153" s="5">
        <v>29.31</v>
      </c>
    </row>
    <row r="154" spans="1:2" ht="20.100000000000001" customHeight="1" thickBot="1" x14ac:dyDescent="0.3">
      <c r="A154" s="4">
        <v>365</v>
      </c>
      <c r="B154" s="5">
        <v>29.46</v>
      </c>
    </row>
    <row r="155" spans="1:2" ht="20.100000000000001" customHeight="1" thickBot="1" x14ac:dyDescent="0.3">
      <c r="A155" s="4">
        <v>370</v>
      </c>
      <c r="B155" s="5">
        <v>30.89</v>
      </c>
    </row>
    <row r="156" spans="1:2" ht="20.100000000000001" customHeight="1" thickBot="1" x14ac:dyDescent="0.3">
      <c r="A156" s="4">
        <v>375</v>
      </c>
      <c r="B156" s="5">
        <v>30.73</v>
      </c>
    </row>
    <row r="157" spans="1:2" ht="20.100000000000001" customHeight="1" thickBot="1" x14ac:dyDescent="0.3">
      <c r="A157" s="4">
        <v>380</v>
      </c>
      <c r="B157" s="5">
        <v>30.02</v>
      </c>
    </row>
    <row r="158" spans="1:2" ht="20.100000000000001" customHeight="1" thickBot="1" x14ac:dyDescent="0.3">
      <c r="A158" s="4">
        <v>385</v>
      </c>
      <c r="B158" s="5">
        <v>30.46</v>
      </c>
    </row>
    <row r="159" spans="1:2" ht="20.100000000000001" customHeight="1" thickBot="1" x14ac:dyDescent="0.3">
      <c r="A159" s="4">
        <v>390</v>
      </c>
      <c r="B159" s="5">
        <v>30.34</v>
      </c>
    </row>
    <row r="160" spans="1:2" ht="20.100000000000001" customHeight="1" thickBot="1" x14ac:dyDescent="0.3">
      <c r="A160" s="4">
        <v>395</v>
      </c>
      <c r="B160" s="5">
        <v>31.01</v>
      </c>
    </row>
    <row r="161" spans="1:2" ht="20.100000000000001" customHeight="1" thickBot="1" x14ac:dyDescent="0.3">
      <c r="A161" s="4">
        <v>400</v>
      </c>
      <c r="B161" s="5">
        <v>31.9</v>
      </c>
    </row>
    <row r="162" spans="1:2" ht="20.100000000000001" customHeight="1" thickBot="1" x14ac:dyDescent="0.3">
      <c r="A162" s="4">
        <v>405</v>
      </c>
      <c r="B162" s="5">
        <v>31.39</v>
      </c>
    </row>
    <row r="163" spans="1:2" ht="20.100000000000001" customHeight="1" thickBot="1" x14ac:dyDescent="0.3">
      <c r="A163" s="4">
        <v>410</v>
      </c>
      <c r="B163" s="5">
        <v>33.380000000000003</v>
      </c>
    </row>
    <row r="164" spans="1:2" ht="20.100000000000001" customHeight="1" thickBot="1" x14ac:dyDescent="0.3">
      <c r="A164" s="4">
        <v>415</v>
      </c>
      <c r="B164" s="5">
        <v>33.99</v>
      </c>
    </row>
    <row r="165" spans="1:2" ht="20.100000000000001" customHeight="1" thickBot="1" x14ac:dyDescent="0.3">
      <c r="A165" s="4">
        <v>420</v>
      </c>
      <c r="B165" s="5">
        <v>38.869999999999997</v>
      </c>
    </row>
    <row r="166" spans="1:2" ht="20.100000000000001" customHeight="1" thickBot="1" x14ac:dyDescent="0.3">
      <c r="A166" s="4">
        <v>425</v>
      </c>
      <c r="B166" s="5">
        <v>33.33</v>
      </c>
    </row>
    <row r="167" spans="1:2" ht="20.100000000000001" customHeight="1" thickBot="1" x14ac:dyDescent="0.3">
      <c r="A167" s="4">
        <v>430</v>
      </c>
      <c r="B167" s="5">
        <v>34.18</v>
      </c>
    </row>
    <row r="168" spans="1:2" ht="20.100000000000001" customHeight="1" thickBot="1" x14ac:dyDescent="0.3">
      <c r="A168" s="4">
        <v>435</v>
      </c>
      <c r="B168" s="5">
        <v>34.17</v>
      </c>
    </row>
    <row r="169" spans="1:2" ht="20.100000000000001" customHeight="1" thickBot="1" x14ac:dyDescent="0.3">
      <c r="A169" s="4">
        <v>440</v>
      </c>
      <c r="B169" s="5">
        <v>34.29</v>
      </c>
    </row>
    <row r="170" spans="1:2" ht="20.100000000000001" customHeight="1" thickBot="1" x14ac:dyDescent="0.3">
      <c r="A170" s="4">
        <v>445</v>
      </c>
      <c r="B170" s="5">
        <v>34.51</v>
      </c>
    </row>
    <row r="171" spans="1:2" ht="20.100000000000001" customHeight="1" thickBot="1" x14ac:dyDescent="0.3">
      <c r="A171" s="4">
        <v>450</v>
      </c>
      <c r="B171" s="5">
        <v>35.42</v>
      </c>
    </row>
    <row r="172" spans="1:2" ht="20.100000000000001" customHeight="1" thickBot="1" x14ac:dyDescent="0.3">
      <c r="A172" s="4">
        <v>455</v>
      </c>
      <c r="B172" s="5">
        <v>36.79</v>
      </c>
    </row>
    <row r="173" spans="1:2" ht="20.100000000000001" customHeight="1" thickBot="1" x14ac:dyDescent="0.3">
      <c r="A173" s="4">
        <v>460</v>
      </c>
      <c r="B173" s="5">
        <v>37.299999999999997</v>
      </c>
    </row>
    <row r="174" spans="1:2" ht="20.100000000000001" customHeight="1" thickBot="1" x14ac:dyDescent="0.3">
      <c r="A174" s="4">
        <v>465</v>
      </c>
      <c r="B174" s="5">
        <v>36.5</v>
      </c>
    </row>
    <row r="175" spans="1:2" ht="20.100000000000001" customHeight="1" thickBot="1" x14ac:dyDescent="0.3">
      <c r="A175" s="4">
        <v>470</v>
      </c>
      <c r="B175" s="5">
        <v>37.46</v>
      </c>
    </row>
    <row r="176" spans="1:2" ht="20.100000000000001" customHeight="1" thickBot="1" x14ac:dyDescent="0.3">
      <c r="A176" s="4">
        <v>475</v>
      </c>
      <c r="B176" s="5">
        <v>37.659999999999997</v>
      </c>
    </row>
    <row r="177" spans="1:2" ht="20.100000000000001" customHeight="1" thickBot="1" x14ac:dyDescent="0.3">
      <c r="A177" s="4">
        <v>480</v>
      </c>
      <c r="B177" s="5">
        <v>38.24</v>
      </c>
    </row>
    <row r="178" spans="1:2" ht="20.100000000000001" customHeight="1" thickBot="1" x14ac:dyDescent="0.3">
      <c r="A178" s="4">
        <v>485</v>
      </c>
      <c r="B178" s="5">
        <v>39.82</v>
      </c>
    </row>
    <row r="179" spans="1:2" ht="20.100000000000001" customHeight="1" thickBot="1" x14ac:dyDescent="0.3">
      <c r="A179" s="4">
        <v>490</v>
      </c>
      <c r="B179" s="5">
        <v>38.479999999999997</v>
      </c>
    </row>
    <row r="180" spans="1:2" ht="20.100000000000001" customHeight="1" thickBot="1" x14ac:dyDescent="0.3">
      <c r="A180" s="4">
        <v>495</v>
      </c>
      <c r="B180" s="5">
        <v>40.1</v>
      </c>
    </row>
    <row r="181" spans="1:2" ht="20.100000000000001" customHeight="1" thickBot="1" x14ac:dyDescent="0.3">
      <c r="A181" s="4">
        <v>500</v>
      </c>
      <c r="B181" s="5">
        <v>41.62</v>
      </c>
    </row>
    <row r="182" spans="1:2" ht="20.100000000000001" customHeight="1" thickBot="1" x14ac:dyDescent="0.3">
      <c r="A182" s="4">
        <v>505</v>
      </c>
      <c r="B182" s="5">
        <v>40.46</v>
      </c>
    </row>
    <row r="183" spans="1:2" ht="20.100000000000001" customHeight="1" thickBot="1" x14ac:dyDescent="0.3">
      <c r="A183" s="4">
        <v>510</v>
      </c>
      <c r="B183" s="5">
        <v>41.39</v>
      </c>
    </row>
    <row r="184" spans="1:2" ht="20.100000000000001" customHeight="1" thickBot="1" x14ac:dyDescent="0.3">
      <c r="A184" s="4">
        <v>515</v>
      </c>
      <c r="B184" s="5">
        <v>41.33</v>
      </c>
    </row>
    <row r="185" spans="1:2" ht="20.100000000000001" customHeight="1" thickBot="1" x14ac:dyDescent="0.3">
      <c r="A185" s="4">
        <v>520</v>
      </c>
      <c r="B185" s="5">
        <v>42.64</v>
      </c>
    </row>
    <row r="186" spans="1:2" ht="20.100000000000001" customHeight="1" thickBot="1" x14ac:dyDescent="0.3">
      <c r="A186" s="4">
        <v>525</v>
      </c>
      <c r="B186" s="5">
        <v>41.26</v>
      </c>
    </row>
    <row r="187" spans="1:2" ht="20.100000000000001" customHeight="1" thickBot="1" x14ac:dyDescent="0.3">
      <c r="A187" s="4">
        <v>530</v>
      </c>
      <c r="B187" s="5">
        <v>43.64</v>
      </c>
    </row>
    <row r="188" spans="1:2" ht="20.100000000000001" customHeight="1" thickBot="1" x14ac:dyDescent="0.3">
      <c r="A188" s="4">
        <v>535</v>
      </c>
      <c r="B188" s="5">
        <v>43.23</v>
      </c>
    </row>
    <row r="189" spans="1:2" ht="20.100000000000001" customHeight="1" thickBot="1" x14ac:dyDescent="0.3">
      <c r="A189" s="4">
        <v>540</v>
      </c>
      <c r="B189" s="5">
        <v>42.97</v>
      </c>
    </row>
    <row r="190" spans="1:2" ht="20.100000000000001" customHeight="1" thickBot="1" x14ac:dyDescent="0.3">
      <c r="A190" s="4">
        <v>545</v>
      </c>
      <c r="B190" s="5">
        <v>43.76</v>
      </c>
    </row>
    <row r="191" spans="1:2" ht="20.100000000000001" customHeight="1" thickBot="1" x14ac:dyDescent="0.3">
      <c r="A191" s="4">
        <v>550</v>
      </c>
      <c r="B191" s="5">
        <v>44.09</v>
      </c>
    </row>
    <row r="192" spans="1:2" ht="20.100000000000001" customHeight="1" thickBot="1" x14ac:dyDescent="0.3">
      <c r="A192" s="4">
        <v>555</v>
      </c>
      <c r="B192" s="5">
        <v>44.14</v>
      </c>
    </row>
    <row r="193" spans="1:2" ht="20.100000000000001" customHeight="1" thickBot="1" x14ac:dyDescent="0.3">
      <c r="A193" s="4">
        <v>560</v>
      </c>
      <c r="B193" s="5">
        <v>45.39</v>
      </c>
    </row>
    <row r="194" spans="1:2" ht="20.100000000000001" customHeight="1" thickBot="1" x14ac:dyDescent="0.3">
      <c r="A194" s="4">
        <v>565</v>
      </c>
      <c r="B194" s="5">
        <v>45.3</v>
      </c>
    </row>
    <row r="195" spans="1:2" ht="20.100000000000001" customHeight="1" thickBot="1" x14ac:dyDescent="0.3">
      <c r="A195" s="4">
        <v>570</v>
      </c>
      <c r="B195" s="5">
        <v>46.42</v>
      </c>
    </row>
    <row r="196" spans="1:2" ht="20.100000000000001" customHeight="1" thickBot="1" x14ac:dyDescent="0.3">
      <c r="A196" s="4">
        <v>575</v>
      </c>
      <c r="B196" s="5">
        <v>46.87</v>
      </c>
    </row>
    <row r="197" spans="1:2" ht="20.100000000000001" customHeight="1" thickBot="1" x14ac:dyDescent="0.3">
      <c r="A197" s="4">
        <v>580</v>
      </c>
      <c r="B197" s="5">
        <v>47.48</v>
      </c>
    </row>
    <row r="198" spans="1:2" ht="20.100000000000001" customHeight="1" thickBot="1" x14ac:dyDescent="0.3">
      <c r="A198" s="4">
        <v>585</v>
      </c>
      <c r="B198" s="5">
        <v>46.44</v>
      </c>
    </row>
    <row r="199" spans="1:2" ht="20.100000000000001" customHeight="1" thickBot="1" x14ac:dyDescent="0.3">
      <c r="A199" s="4">
        <v>590</v>
      </c>
      <c r="B199" s="5">
        <v>47.01</v>
      </c>
    </row>
    <row r="200" spans="1:2" ht="20.100000000000001" customHeight="1" thickBot="1" x14ac:dyDescent="0.3">
      <c r="A200" s="4">
        <v>595</v>
      </c>
      <c r="B200" s="5">
        <v>47.97</v>
      </c>
    </row>
    <row r="201" spans="1:2" ht="20.100000000000001" customHeight="1" thickBot="1" x14ac:dyDescent="0.3">
      <c r="A201" s="4">
        <v>600</v>
      </c>
      <c r="B201" s="5">
        <v>48.54</v>
      </c>
    </row>
    <row r="202" spans="1:2" ht="20.100000000000001" customHeight="1" thickBot="1" x14ac:dyDescent="0.3">
      <c r="A202" s="4">
        <v>605</v>
      </c>
      <c r="B202" s="5">
        <v>48.84</v>
      </c>
    </row>
    <row r="203" spans="1:2" ht="20.100000000000001" customHeight="1" thickBot="1" x14ac:dyDescent="0.3">
      <c r="A203" s="4">
        <v>610</v>
      </c>
      <c r="B203" s="5">
        <v>49.58</v>
      </c>
    </row>
    <row r="204" spans="1:2" ht="20.100000000000001" customHeight="1" thickBot="1" x14ac:dyDescent="0.3">
      <c r="A204" s="4">
        <v>615</v>
      </c>
      <c r="B204" s="5">
        <v>50.54</v>
      </c>
    </row>
    <row r="205" spans="1:2" ht="20.100000000000001" customHeight="1" thickBot="1" x14ac:dyDescent="0.3">
      <c r="A205" s="4">
        <v>620</v>
      </c>
      <c r="B205" s="5">
        <v>49.83</v>
      </c>
    </row>
    <row r="206" spans="1:2" ht="20.100000000000001" customHeight="1" thickBot="1" x14ac:dyDescent="0.3">
      <c r="A206" s="4">
        <v>625</v>
      </c>
      <c r="B206" s="5">
        <v>50.37</v>
      </c>
    </row>
    <row r="207" spans="1:2" ht="20.100000000000001" customHeight="1" thickBot="1" x14ac:dyDescent="0.3">
      <c r="A207" s="4">
        <v>630</v>
      </c>
      <c r="B207" s="5">
        <v>51.21</v>
      </c>
    </row>
    <row r="208" spans="1:2" ht="20.100000000000001" customHeight="1" thickBot="1" x14ac:dyDescent="0.3">
      <c r="A208" s="4">
        <v>635</v>
      </c>
      <c r="B208" s="5">
        <v>51.66</v>
      </c>
    </row>
    <row r="209" spans="1:2" ht="20.100000000000001" customHeight="1" thickBot="1" x14ac:dyDescent="0.3">
      <c r="A209" s="4">
        <v>640</v>
      </c>
      <c r="B209" s="5">
        <v>52.34</v>
      </c>
    </row>
    <row r="210" spans="1:2" ht="20.100000000000001" customHeight="1" thickBot="1" x14ac:dyDescent="0.3">
      <c r="A210" s="4">
        <v>645</v>
      </c>
      <c r="B210" s="5">
        <v>52.09</v>
      </c>
    </row>
    <row r="211" spans="1:2" ht="20.100000000000001" customHeight="1" thickBot="1" x14ac:dyDescent="0.3">
      <c r="A211" s="4">
        <v>650</v>
      </c>
      <c r="B211" s="5">
        <v>52.27</v>
      </c>
    </row>
    <row r="212" spans="1:2" ht="20.100000000000001" customHeight="1" thickBot="1" x14ac:dyDescent="0.3">
      <c r="A212" s="4">
        <v>655</v>
      </c>
      <c r="B212" s="5">
        <v>53.12</v>
      </c>
    </row>
    <row r="213" spans="1:2" ht="20.100000000000001" customHeight="1" thickBot="1" x14ac:dyDescent="0.3">
      <c r="A213" s="4">
        <v>660</v>
      </c>
      <c r="B213" s="5">
        <v>55.07</v>
      </c>
    </row>
    <row r="214" spans="1:2" ht="20.100000000000001" customHeight="1" thickBot="1" x14ac:dyDescent="0.3">
      <c r="A214" s="4">
        <v>665</v>
      </c>
      <c r="B214" s="5">
        <v>60.71</v>
      </c>
    </row>
    <row r="215" spans="1:2" ht="20.100000000000001" customHeight="1" thickBot="1" x14ac:dyDescent="0.3">
      <c r="A215" s="4">
        <v>670</v>
      </c>
      <c r="B215" s="5">
        <v>55.44</v>
      </c>
    </row>
    <row r="216" spans="1:2" ht="20.100000000000001" customHeight="1" thickBot="1" x14ac:dyDescent="0.3">
      <c r="A216" s="4">
        <v>675</v>
      </c>
      <c r="B216" s="5">
        <v>54.82</v>
      </c>
    </row>
    <row r="217" spans="1:2" ht="20.100000000000001" customHeight="1" thickBot="1" x14ac:dyDescent="0.3">
      <c r="A217" s="4">
        <v>680</v>
      </c>
      <c r="B217" s="5">
        <v>54.58</v>
      </c>
    </row>
    <row r="218" spans="1:2" ht="20.100000000000001" customHeight="1" thickBot="1" x14ac:dyDescent="0.3">
      <c r="A218" s="4">
        <v>685</v>
      </c>
      <c r="B218" s="5">
        <v>57.88</v>
      </c>
    </row>
    <row r="219" spans="1:2" ht="20.100000000000001" customHeight="1" thickBot="1" x14ac:dyDescent="0.3">
      <c r="A219" s="4">
        <v>690</v>
      </c>
      <c r="B219" s="5">
        <v>58.17</v>
      </c>
    </row>
    <row r="220" spans="1:2" ht="20.100000000000001" customHeight="1" thickBot="1" x14ac:dyDescent="0.3">
      <c r="A220" s="4">
        <v>695</v>
      </c>
      <c r="B220" s="5">
        <v>56.76</v>
      </c>
    </row>
    <row r="221" spans="1:2" ht="20.100000000000001" customHeight="1" thickBot="1" x14ac:dyDescent="0.3">
      <c r="A221" s="4">
        <v>700</v>
      </c>
      <c r="B221" s="5">
        <v>57.07</v>
      </c>
    </row>
    <row r="222" spans="1:2" ht="20.100000000000001" customHeight="1" thickBot="1" x14ac:dyDescent="0.3">
      <c r="A222" s="4">
        <v>705</v>
      </c>
      <c r="B222" s="5">
        <v>57.7</v>
      </c>
    </row>
    <row r="223" spans="1:2" ht="20.100000000000001" customHeight="1" thickBot="1" x14ac:dyDescent="0.3">
      <c r="A223" s="4">
        <v>710</v>
      </c>
      <c r="B223" s="5">
        <v>56.73</v>
      </c>
    </row>
    <row r="224" spans="1:2" ht="20.100000000000001" customHeight="1" thickBot="1" x14ac:dyDescent="0.3">
      <c r="A224" s="4">
        <v>715</v>
      </c>
      <c r="B224" s="5">
        <v>57.48</v>
      </c>
    </row>
    <row r="225" spans="1:2" ht="20.100000000000001" customHeight="1" thickBot="1" x14ac:dyDescent="0.3">
      <c r="A225" s="4">
        <v>720</v>
      </c>
      <c r="B225" s="5">
        <v>60.78</v>
      </c>
    </row>
    <row r="226" spans="1:2" ht="20.100000000000001" customHeight="1" thickBot="1" x14ac:dyDescent="0.3">
      <c r="A226" s="4">
        <v>725</v>
      </c>
      <c r="B226" s="5">
        <v>62.43</v>
      </c>
    </row>
    <row r="227" spans="1:2" ht="20.100000000000001" customHeight="1" thickBot="1" x14ac:dyDescent="0.3">
      <c r="A227" s="4">
        <v>730</v>
      </c>
      <c r="B227" s="5">
        <v>62.95</v>
      </c>
    </row>
    <row r="228" spans="1:2" ht="20.100000000000001" customHeight="1" thickBot="1" x14ac:dyDescent="0.3">
      <c r="A228" s="4">
        <v>735</v>
      </c>
      <c r="B228" s="5">
        <v>62.34</v>
      </c>
    </row>
    <row r="229" spans="1:2" ht="20.100000000000001" customHeight="1" thickBot="1" x14ac:dyDescent="0.3">
      <c r="A229" s="4">
        <v>740</v>
      </c>
      <c r="B229" s="5">
        <v>60.3</v>
      </c>
    </row>
    <row r="230" spans="1:2" ht="20.100000000000001" customHeight="1" thickBot="1" x14ac:dyDescent="0.3">
      <c r="A230" s="4">
        <v>745</v>
      </c>
      <c r="B230" s="5">
        <v>60.17</v>
      </c>
    </row>
    <row r="231" spans="1:2" ht="20.100000000000001" customHeight="1" thickBot="1" x14ac:dyDescent="0.3">
      <c r="A231" s="4">
        <v>750</v>
      </c>
      <c r="B231" s="5">
        <v>62.66</v>
      </c>
    </row>
    <row r="232" spans="1:2" ht="20.100000000000001" customHeight="1" thickBot="1" x14ac:dyDescent="0.3">
      <c r="A232" s="4">
        <v>755</v>
      </c>
      <c r="B232" s="5">
        <v>60.31</v>
      </c>
    </row>
    <row r="233" spans="1:2" ht="20.100000000000001" customHeight="1" thickBot="1" x14ac:dyDescent="0.3">
      <c r="A233" s="4">
        <v>760</v>
      </c>
      <c r="B233" s="5">
        <v>61.14</v>
      </c>
    </row>
    <row r="234" spans="1:2" ht="20.100000000000001" customHeight="1" thickBot="1" x14ac:dyDescent="0.3">
      <c r="A234" s="4">
        <v>765</v>
      </c>
      <c r="B234" s="5">
        <v>62</v>
      </c>
    </row>
    <row r="235" spans="1:2" ht="20.100000000000001" customHeight="1" thickBot="1" x14ac:dyDescent="0.3">
      <c r="A235" s="4">
        <v>770</v>
      </c>
      <c r="B235" s="5">
        <v>68.14</v>
      </c>
    </row>
    <row r="236" spans="1:2" ht="20.100000000000001" customHeight="1" thickBot="1" x14ac:dyDescent="0.3">
      <c r="A236" s="4">
        <v>775</v>
      </c>
      <c r="B236" s="5">
        <v>69.650000000000006</v>
      </c>
    </row>
    <row r="237" spans="1:2" ht="20.100000000000001" customHeight="1" thickBot="1" x14ac:dyDescent="0.3">
      <c r="A237" s="4">
        <v>780</v>
      </c>
      <c r="B237" s="5">
        <v>67.959999999999994</v>
      </c>
    </row>
    <row r="238" spans="1:2" ht="20.100000000000001" customHeight="1" thickBot="1" x14ac:dyDescent="0.3">
      <c r="A238" s="4">
        <v>785</v>
      </c>
      <c r="B238" s="5">
        <v>70.599999999999994</v>
      </c>
    </row>
    <row r="239" spans="1:2" ht="20.100000000000001" customHeight="1" thickBot="1" x14ac:dyDescent="0.3">
      <c r="A239" s="4">
        <v>790</v>
      </c>
      <c r="B239" s="5">
        <v>69.930000000000007</v>
      </c>
    </row>
    <row r="240" spans="1:2" ht="20.100000000000001" customHeight="1" thickBot="1" x14ac:dyDescent="0.3">
      <c r="A240" s="4">
        <v>795</v>
      </c>
      <c r="B240" s="5">
        <v>69.62</v>
      </c>
    </row>
    <row r="241" spans="1:2" ht="20.100000000000001" customHeight="1" thickBot="1" x14ac:dyDescent="0.3">
      <c r="A241" s="4">
        <v>800</v>
      </c>
      <c r="B241" s="5">
        <v>67.099999999999994</v>
      </c>
    </row>
    <row r="242" spans="1:2" ht="20.100000000000001" customHeight="1" thickBot="1" x14ac:dyDescent="0.3">
      <c r="A242" s="4">
        <v>805</v>
      </c>
      <c r="B242" s="5">
        <v>70.290000000000006</v>
      </c>
    </row>
    <row r="243" spans="1:2" ht="20.100000000000001" customHeight="1" thickBot="1" x14ac:dyDescent="0.3">
      <c r="A243" s="4">
        <v>810</v>
      </c>
      <c r="B243" s="5">
        <v>76.02</v>
      </c>
    </row>
    <row r="244" spans="1:2" ht="20.100000000000001" customHeight="1" thickBot="1" x14ac:dyDescent="0.3">
      <c r="A244" s="4">
        <v>815</v>
      </c>
      <c r="B244" s="5">
        <v>74.31</v>
      </c>
    </row>
    <row r="245" spans="1:2" ht="20.100000000000001" customHeight="1" thickBot="1" x14ac:dyDescent="0.3">
      <c r="A245" s="4">
        <v>820</v>
      </c>
      <c r="B245" s="5">
        <v>68.989999999999995</v>
      </c>
    </row>
    <row r="246" spans="1:2" ht="20.100000000000001" customHeight="1" thickBot="1" x14ac:dyDescent="0.3">
      <c r="A246" s="4">
        <v>825</v>
      </c>
      <c r="B246" s="5">
        <v>67.53</v>
      </c>
    </row>
    <row r="247" spans="1:2" ht="20.100000000000001" customHeight="1" thickBot="1" x14ac:dyDescent="0.3">
      <c r="A247" s="4">
        <v>830</v>
      </c>
      <c r="B247" s="5">
        <v>66.790000000000006</v>
      </c>
    </row>
    <row r="248" spans="1:2" ht="20.100000000000001" customHeight="1" thickBot="1" x14ac:dyDescent="0.3">
      <c r="A248" s="4">
        <v>835</v>
      </c>
      <c r="B248" s="5">
        <v>65.849999999999994</v>
      </c>
    </row>
    <row r="249" spans="1:2" ht="20.100000000000001" customHeight="1" thickBot="1" x14ac:dyDescent="0.3">
      <c r="A249" s="4">
        <v>840</v>
      </c>
      <c r="B249" s="5">
        <v>68.260000000000005</v>
      </c>
    </row>
    <row r="250" spans="1:2" ht="20.100000000000001" customHeight="1" thickBot="1" x14ac:dyDescent="0.3">
      <c r="A250" s="4">
        <v>845</v>
      </c>
      <c r="B250" s="5">
        <v>68.650000000000006</v>
      </c>
    </row>
    <row r="251" spans="1:2" ht="20.100000000000001" customHeight="1" thickBot="1" x14ac:dyDescent="0.3">
      <c r="A251" s="4">
        <v>850</v>
      </c>
      <c r="B251" s="5">
        <v>71.290000000000006</v>
      </c>
    </row>
    <row r="252" spans="1:2" ht="20.100000000000001" customHeight="1" thickBot="1" x14ac:dyDescent="0.3">
      <c r="A252" s="4">
        <v>855</v>
      </c>
      <c r="B252" s="5">
        <v>69.86</v>
      </c>
    </row>
    <row r="253" spans="1:2" ht="20.100000000000001" customHeight="1" thickBot="1" x14ac:dyDescent="0.3">
      <c r="A253" s="4">
        <v>860</v>
      </c>
      <c r="B253" s="5">
        <v>70.319999999999993</v>
      </c>
    </row>
    <row r="254" spans="1:2" ht="20.100000000000001" customHeight="1" thickBot="1" x14ac:dyDescent="0.3">
      <c r="A254" s="4">
        <v>865</v>
      </c>
      <c r="B254" s="5">
        <v>69.12</v>
      </c>
    </row>
    <row r="255" spans="1:2" ht="20.100000000000001" customHeight="1" thickBot="1" x14ac:dyDescent="0.3">
      <c r="A255" s="4">
        <v>870</v>
      </c>
      <c r="B255" s="5">
        <v>70.95</v>
      </c>
    </row>
    <row r="256" spans="1:2" ht="20.100000000000001" customHeight="1" thickBot="1" x14ac:dyDescent="0.3">
      <c r="A256" s="4">
        <v>875</v>
      </c>
      <c r="B256" s="5">
        <v>69.73</v>
      </c>
    </row>
    <row r="257" spans="1:2" ht="20.100000000000001" customHeight="1" thickBot="1" x14ac:dyDescent="0.3">
      <c r="A257" s="4">
        <v>880</v>
      </c>
      <c r="B257" s="5">
        <v>72.180000000000007</v>
      </c>
    </row>
    <row r="258" spans="1:2" ht="20.100000000000001" customHeight="1" thickBot="1" x14ac:dyDescent="0.3">
      <c r="A258" s="4">
        <v>885</v>
      </c>
      <c r="B258" s="5">
        <v>72.88</v>
      </c>
    </row>
    <row r="259" spans="1:2" ht="20.100000000000001" customHeight="1" thickBot="1" x14ac:dyDescent="0.3">
      <c r="A259" s="4">
        <v>890</v>
      </c>
      <c r="B259" s="5">
        <v>73.709999999999994</v>
      </c>
    </row>
    <row r="260" spans="1:2" ht="20.100000000000001" customHeight="1" thickBot="1" x14ac:dyDescent="0.3">
      <c r="A260" s="4">
        <v>895</v>
      </c>
      <c r="B260" s="5">
        <v>74.12</v>
      </c>
    </row>
    <row r="261" spans="1:2" ht="20.100000000000001" customHeight="1" thickBot="1" x14ac:dyDescent="0.3">
      <c r="A261" s="4">
        <v>900</v>
      </c>
      <c r="B261" s="5">
        <v>73.849999999999994</v>
      </c>
    </row>
    <row r="262" spans="1:2" ht="20.100000000000001" customHeight="1" thickBot="1" x14ac:dyDescent="0.3">
      <c r="A262" s="4">
        <v>905</v>
      </c>
      <c r="B262" s="5">
        <v>75.959999999999994</v>
      </c>
    </row>
    <row r="263" spans="1:2" ht="20.100000000000001" customHeight="1" thickBot="1" x14ac:dyDescent="0.3">
      <c r="A263" s="4">
        <v>910</v>
      </c>
      <c r="B263" s="5">
        <v>74.61</v>
      </c>
    </row>
    <row r="264" spans="1:2" ht="20.100000000000001" customHeight="1" thickBot="1" x14ac:dyDescent="0.3">
      <c r="A264" s="4">
        <v>915</v>
      </c>
      <c r="B264" s="5">
        <v>72.61</v>
      </c>
    </row>
    <row r="265" spans="1:2" ht="20.100000000000001" customHeight="1" thickBot="1" x14ac:dyDescent="0.3">
      <c r="A265" s="4">
        <v>920</v>
      </c>
      <c r="B265" s="5">
        <v>74.97</v>
      </c>
    </row>
    <row r="266" spans="1:2" ht="20.100000000000001" customHeight="1" thickBot="1" x14ac:dyDescent="0.3">
      <c r="A266" s="4">
        <v>925</v>
      </c>
      <c r="B266" s="5">
        <v>76.06</v>
      </c>
    </row>
    <row r="267" spans="1:2" ht="20.100000000000001" customHeight="1" thickBot="1" x14ac:dyDescent="0.3">
      <c r="A267" s="4">
        <v>930</v>
      </c>
      <c r="B267" s="5">
        <v>77.260000000000005</v>
      </c>
    </row>
    <row r="268" spans="1:2" ht="20.100000000000001" customHeight="1" thickBot="1" x14ac:dyDescent="0.3">
      <c r="A268" s="4">
        <v>935</v>
      </c>
      <c r="B268" s="5">
        <v>77.75</v>
      </c>
    </row>
    <row r="269" spans="1:2" ht="20.100000000000001" customHeight="1" thickBot="1" x14ac:dyDescent="0.3">
      <c r="A269" s="4">
        <v>940</v>
      </c>
      <c r="B269" s="5">
        <v>77.22</v>
      </c>
    </row>
    <row r="270" spans="1:2" ht="20.100000000000001" customHeight="1" thickBot="1" x14ac:dyDescent="0.3">
      <c r="A270" s="4">
        <v>945</v>
      </c>
      <c r="B270" s="5">
        <v>77.16</v>
      </c>
    </row>
    <row r="271" spans="1:2" ht="20.100000000000001" customHeight="1" thickBot="1" x14ac:dyDescent="0.3">
      <c r="A271" s="4">
        <v>950</v>
      </c>
      <c r="B271" s="5">
        <v>77.400000000000006</v>
      </c>
    </row>
    <row r="272" spans="1:2" ht="20.100000000000001" customHeight="1" thickBot="1" x14ac:dyDescent="0.3">
      <c r="A272" s="4">
        <v>955</v>
      </c>
      <c r="B272" s="5">
        <v>75.849999999999994</v>
      </c>
    </row>
    <row r="273" spans="1:2" ht="20.100000000000001" customHeight="1" thickBot="1" x14ac:dyDescent="0.3">
      <c r="A273" s="4">
        <v>960</v>
      </c>
      <c r="B273" s="5">
        <v>77.23</v>
      </c>
    </row>
    <row r="274" spans="1:2" ht="20.100000000000001" customHeight="1" thickBot="1" x14ac:dyDescent="0.3">
      <c r="A274" s="4">
        <v>965</v>
      </c>
      <c r="B274" s="5">
        <v>79.180000000000007</v>
      </c>
    </row>
    <row r="275" spans="1:2" ht="20.100000000000001" customHeight="1" thickBot="1" x14ac:dyDescent="0.3">
      <c r="A275" s="4">
        <v>970</v>
      </c>
      <c r="B275" s="5">
        <v>78.69</v>
      </c>
    </row>
    <row r="276" spans="1:2" ht="20.100000000000001" customHeight="1" thickBot="1" x14ac:dyDescent="0.3">
      <c r="A276" s="4">
        <v>975</v>
      </c>
      <c r="B276" s="5">
        <v>79.150000000000006</v>
      </c>
    </row>
    <row r="277" spans="1:2" ht="20.100000000000001" customHeight="1" thickBot="1" x14ac:dyDescent="0.3">
      <c r="A277" s="4">
        <v>980</v>
      </c>
      <c r="B277" s="5">
        <v>80.14</v>
      </c>
    </row>
    <row r="278" spans="1:2" ht="20.100000000000001" customHeight="1" thickBot="1" x14ac:dyDescent="0.3">
      <c r="A278" s="4">
        <v>985</v>
      </c>
      <c r="B278" s="5">
        <v>79.59</v>
      </c>
    </row>
    <row r="279" spans="1:2" ht="20.100000000000001" customHeight="1" thickBot="1" x14ac:dyDescent="0.3">
      <c r="A279" s="4">
        <v>990</v>
      </c>
      <c r="B279" s="5">
        <v>83.81</v>
      </c>
    </row>
    <row r="280" spans="1:2" ht="20.100000000000001" customHeight="1" thickBot="1" x14ac:dyDescent="0.3">
      <c r="A280" s="4">
        <v>995</v>
      </c>
      <c r="B280" s="5">
        <v>83.11</v>
      </c>
    </row>
    <row r="281" spans="1:2" ht="20.100000000000001" customHeight="1" thickBot="1" x14ac:dyDescent="0.3">
      <c r="A281" s="4">
        <v>1000</v>
      </c>
      <c r="B281" s="5">
        <v>73.64</v>
      </c>
    </row>
    <row r="282" spans="1:2" ht="20.100000000000001" customHeight="1" thickBot="1" x14ac:dyDescent="0.3">
      <c r="A282" s="4">
        <v>1010</v>
      </c>
      <c r="B282" s="5">
        <v>77.760000000000005</v>
      </c>
    </row>
    <row r="283" spans="1:2" ht="20.100000000000001" customHeight="1" thickBot="1" x14ac:dyDescent="0.3">
      <c r="A283" s="4">
        <v>1020</v>
      </c>
      <c r="B283" s="5">
        <v>79.88</v>
      </c>
    </row>
    <row r="284" spans="1:2" ht="20.100000000000001" customHeight="1" thickBot="1" x14ac:dyDescent="0.3">
      <c r="A284" s="4">
        <v>1030</v>
      </c>
      <c r="B284" s="5">
        <v>83.38</v>
      </c>
    </row>
    <row r="285" spans="1:2" ht="20.100000000000001" customHeight="1" thickBot="1" x14ac:dyDescent="0.3">
      <c r="A285" s="4">
        <v>1040</v>
      </c>
      <c r="B285" s="5">
        <v>83.43</v>
      </c>
    </row>
    <row r="286" spans="1:2" ht="20.100000000000001" customHeight="1" thickBot="1" x14ac:dyDescent="0.3">
      <c r="A286" s="4">
        <v>1050</v>
      </c>
      <c r="B286" s="5">
        <v>86.81</v>
      </c>
    </row>
    <row r="287" spans="1:2" ht="20.100000000000001" customHeight="1" thickBot="1" x14ac:dyDescent="0.3">
      <c r="A287" s="4">
        <v>1060</v>
      </c>
      <c r="B287" s="5">
        <v>93.29</v>
      </c>
    </row>
    <row r="288" spans="1:2" ht="20.100000000000001" customHeight="1" thickBot="1" x14ac:dyDescent="0.3">
      <c r="A288" s="4">
        <v>1070</v>
      </c>
      <c r="B288" s="5">
        <v>163.53</v>
      </c>
    </row>
    <row r="289" spans="1:2" ht="20.100000000000001" customHeight="1" thickBot="1" x14ac:dyDescent="0.3">
      <c r="A289" s="4">
        <v>1080</v>
      </c>
      <c r="B289" s="5">
        <v>111.7</v>
      </c>
    </row>
    <row r="290" spans="1:2" ht="20.100000000000001" customHeight="1" thickBot="1" x14ac:dyDescent="0.3">
      <c r="A290" s="4">
        <v>1090</v>
      </c>
      <c r="B290" s="5">
        <v>106.11</v>
      </c>
    </row>
    <row r="291" spans="1:2" ht="20.100000000000001" customHeight="1" thickBot="1" x14ac:dyDescent="0.3">
      <c r="A291" s="4">
        <v>1100</v>
      </c>
      <c r="B291" s="5">
        <v>95.65</v>
      </c>
    </row>
    <row r="292" spans="1:2" ht="20.100000000000001" customHeight="1" thickBot="1" x14ac:dyDescent="0.3">
      <c r="A292" s="4">
        <v>1110</v>
      </c>
      <c r="B292" s="5">
        <v>107.15</v>
      </c>
    </row>
    <row r="293" spans="1:2" ht="20.100000000000001" customHeight="1" thickBot="1" x14ac:dyDescent="0.3">
      <c r="A293" s="4">
        <v>1120</v>
      </c>
      <c r="B293" s="5">
        <v>100.65</v>
      </c>
    </row>
    <row r="294" spans="1:2" ht="20.100000000000001" customHeight="1" thickBot="1" x14ac:dyDescent="0.3">
      <c r="A294" s="4">
        <v>1130</v>
      </c>
      <c r="B294" s="5">
        <v>110.1</v>
      </c>
    </row>
    <row r="295" spans="1:2" ht="20.100000000000001" customHeight="1" thickBot="1" x14ac:dyDescent="0.3">
      <c r="A295" s="4">
        <v>1140</v>
      </c>
      <c r="B295" s="5">
        <v>113.01</v>
      </c>
    </row>
    <row r="296" spans="1:2" ht="20.100000000000001" customHeight="1" thickBot="1" x14ac:dyDescent="0.3">
      <c r="A296" s="4">
        <v>1150</v>
      </c>
      <c r="B296" s="5">
        <v>98.46</v>
      </c>
    </row>
    <row r="297" spans="1:2" ht="20.100000000000001" customHeight="1" thickBot="1" x14ac:dyDescent="0.3">
      <c r="A297" s="4">
        <v>1160</v>
      </c>
      <c r="B297" s="5">
        <v>105.14</v>
      </c>
    </row>
    <row r="298" spans="1:2" ht="20.100000000000001" customHeight="1" thickBot="1" x14ac:dyDescent="0.3">
      <c r="A298" s="4">
        <v>1170</v>
      </c>
      <c r="B298" s="5">
        <v>104.34</v>
      </c>
    </row>
    <row r="299" spans="1:2" ht="20.100000000000001" customHeight="1" thickBot="1" x14ac:dyDescent="0.3">
      <c r="A299" s="4">
        <v>1180</v>
      </c>
      <c r="B299" s="5">
        <v>104.69</v>
      </c>
    </row>
    <row r="300" spans="1:2" ht="20.100000000000001" customHeight="1" thickBot="1" x14ac:dyDescent="0.3">
      <c r="A300" s="4">
        <v>1190</v>
      </c>
      <c r="B300" s="5">
        <v>96.15</v>
      </c>
    </row>
    <row r="301" spans="1:2" ht="20.100000000000001" customHeight="1" thickBot="1" x14ac:dyDescent="0.3">
      <c r="A301" s="4">
        <v>1200</v>
      </c>
      <c r="B301" s="5">
        <v>97.66</v>
      </c>
    </row>
    <row r="302" spans="1:2" ht="20.100000000000001" customHeight="1" thickBot="1" x14ac:dyDescent="0.3">
      <c r="A302" s="4">
        <v>1210</v>
      </c>
      <c r="B302" s="5">
        <v>94.66</v>
      </c>
    </row>
    <row r="303" spans="1:2" ht="20.100000000000001" customHeight="1" thickBot="1" x14ac:dyDescent="0.3">
      <c r="A303" s="4">
        <v>1220</v>
      </c>
      <c r="B303" s="5">
        <v>96.47</v>
      </c>
    </row>
    <row r="304" spans="1:2" ht="20.100000000000001" customHeight="1" thickBot="1" x14ac:dyDescent="0.3">
      <c r="A304" s="4">
        <v>1230</v>
      </c>
      <c r="B304" s="5">
        <v>103.8</v>
      </c>
    </row>
    <row r="305" spans="1:2" ht="20.100000000000001" customHeight="1" thickBot="1" x14ac:dyDescent="0.3">
      <c r="A305" s="4">
        <v>1240</v>
      </c>
      <c r="B305" s="5">
        <v>108.8</v>
      </c>
    </row>
    <row r="306" spans="1:2" ht="20.100000000000001" customHeight="1" thickBot="1" x14ac:dyDescent="0.3">
      <c r="A306" s="4">
        <v>1250</v>
      </c>
      <c r="B306" s="5">
        <v>107.25</v>
      </c>
    </row>
    <row r="307" spans="1:2" ht="20.100000000000001" customHeight="1" thickBot="1" x14ac:dyDescent="0.3">
      <c r="A307" s="4">
        <v>1260</v>
      </c>
      <c r="B307" s="5">
        <v>106.26</v>
      </c>
    </row>
    <row r="308" spans="1:2" ht="20.100000000000001" customHeight="1" thickBot="1" x14ac:dyDescent="0.3">
      <c r="A308" s="4">
        <v>1270</v>
      </c>
      <c r="B308" s="5">
        <v>117.7</v>
      </c>
    </row>
    <row r="309" spans="1:2" ht="20.100000000000001" customHeight="1" thickBot="1" x14ac:dyDescent="0.3">
      <c r="A309" s="4">
        <v>1280</v>
      </c>
      <c r="B309" s="5">
        <v>118.15</v>
      </c>
    </row>
    <row r="310" spans="1:2" ht="20.100000000000001" customHeight="1" thickBot="1" x14ac:dyDescent="0.3">
      <c r="A310" s="4">
        <v>1290</v>
      </c>
      <c r="B310" s="5">
        <v>113.41</v>
      </c>
    </row>
    <row r="311" spans="1:2" ht="20.100000000000001" customHeight="1" thickBot="1" x14ac:dyDescent="0.3">
      <c r="A311" s="4">
        <v>1300</v>
      </c>
      <c r="B311" s="5">
        <v>108.09</v>
      </c>
    </row>
    <row r="312" spans="1:2" ht="20.100000000000001" customHeight="1" thickBot="1" x14ac:dyDescent="0.3">
      <c r="A312" s="4">
        <v>1310</v>
      </c>
      <c r="B312" s="5">
        <v>111.99</v>
      </c>
    </row>
    <row r="313" spans="1:2" ht="20.100000000000001" customHeight="1" thickBot="1" x14ac:dyDescent="0.3">
      <c r="A313" s="4">
        <v>1320</v>
      </c>
      <c r="B313" s="5">
        <v>116.64</v>
      </c>
    </row>
    <row r="314" spans="1:2" ht="20.100000000000001" customHeight="1" thickBot="1" x14ac:dyDescent="0.3">
      <c r="A314" s="4">
        <v>1330</v>
      </c>
      <c r="B314" s="5">
        <v>113.07</v>
      </c>
    </row>
    <row r="315" spans="1:2" ht="20.100000000000001" customHeight="1" thickBot="1" x14ac:dyDescent="0.3">
      <c r="A315" s="4">
        <v>1340</v>
      </c>
      <c r="B315" s="5">
        <v>112.92</v>
      </c>
    </row>
    <row r="316" spans="1:2" ht="20.100000000000001" customHeight="1" thickBot="1" x14ac:dyDescent="0.3">
      <c r="A316" s="4">
        <v>1350</v>
      </c>
      <c r="B316" s="5">
        <v>144.97999999999999</v>
      </c>
    </row>
    <row r="317" spans="1:2" ht="20.100000000000001" customHeight="1" thickBot="1" x14ac:dyDescent="0.3">
      <c r="A317" s="4">
        <v>1360</v>
      </c>
      <c r="B317" s="5">
        <v>112.76</v>
      </c>
    </row>
    <row r="318" spans="1:2" ht="20.100000000000001" customHeight="1" thickBot="1" x14ac:dyDescent="0.3">
      <c r="A318" s="4">
        <v>1370</v>
      </c>
      <c r="B318" s="5">
        <v>146.03</v>
      </c>
    </row>
    <row r="319" spans="1:2" ht="20.100000000000001" customHeight="1" thickBot="1" x14ac:dyDescent="0.3">
      <c r="A319" s="4">
        <v>1380</v>
      </c>
      <c r="B319" s="5">
        <v>137.19999999999999</v>
      </c>
    </row>
    <row r="320" spans="1:2" ht="20.100000000000001" customHeight="1" thickBot="1" x14ac:dyDescent="0.3">
      <c r="A320" s="4">
        <v>1390</v>
      </c>
      <c r="B320" s="5">
        <v>128.06</v>
      </c>
    </row>
    <row r="321" spans="1:2" ht="20.100000000000001" customHeight="1" thickBot="1" x14ac:dyDescent="0.3">
      <c r="A321" s="4">
        <v>1400</v>
      </c>
      <c r="B321" s="5">
        <v>133.75</v>
      </c>
    </row>
    <row r="322" spans="1:2" ht="20.100000000000001" customHeight="1" thickBot="1" x14ac:dyDescent="0.3">
      <c r="A322" s="4">
        <v>1410</v>
      </c>
      <c r="B322" s="5">
        <v>204.81</v>
      </c>
    </row>
    <row r="323" spans="1:2" ht="20.100000000000001" customHeight="1" thickBot="1" x14ac:dyDescent="0.3">
      <c r="A323" s="4">
        <v>1420</v>
      </c>
      <c r="B323" s="5">
        <v>226.4</v>
      </c>
    </row>
    <row r="324" spans="1:2" ht="20.100000000000001" customHeight="1" thickBot="1" x14ac:dyDescent="0.3">
      <c r="A324" s="4">
        <v>1430</v>
      </c>
      <c r="B324" s="5">
        <v>178.17</v>
      </c>
    </row>
    <row r="325" spans="1:2" ht="20.100000000000001" customHeight="1" thickBot="1" x14ac:dyDescent="0.3">
      <c r="A325" s="4">
        <v>1440</v>
      </c>
      <c r="B325" s="5">
        <v>145.41</v>
      </c>
    </row>
    <row r="326" spans="1:2" ht="20.100000000000001" customHeight="1" thickBot="1" x14ac:dyDescent="0.3">
      <c r="A326" s="4">
        <v>1450</v>
      </c>
      <c r="B326" s="5">
        <v>154.83000000000001</v>
      </c>
    </row>
    <row r="327" spans="1:2" ht="20.100000000000001" customHeight="1" thickBot="1" x14ac:dyDescent="0.3">
      <c r="A327" s="4">
        <v>1460</v>
      </c>
      <c r="B327" s="5">
        <v>152.44999999999999</v>
      </c>
    </row>
    <row r="328" spans="1:2" ht="20.100000000000001" customHeight="1" thickBot="1" x14ac:dyDescent="0.3">
      <c r="A328" s="4">
        <v>1470</v>
      </c>
      <c r="B328" s="5">
        <v>167.35</v>
      </c>
    </row>
    <row r="329" spans="1:2" ht="20.100000000000001" customHeight="1" thickBot="1" x14ac:dyDescent="0.3">
      <c r="A329" s="4">
        <v>1480</v>
      </c>
      <c r="B329" s="5">
        <v>159.44999999999999</v>
      </c>
    </row>
    <row r="330" spans="1:2" ht="20.100000000000001" customHeight="1" thickBot="1" x14ac:dyDescent="0.3">
      <c r="A330" s="4">
        <v>1490</v>
      </c>
      <c r="B330" s="5">
        <v>152.13999999999999</v>
      </c>
    </row>
    <row r="331" spans="1:2" ht="20.100000000000001" customHeight="1" thickBot="1" x14ac:dyDescent="0.3">
      <c r="A331" s="4">
        <v>1500</v>
      </c>
      <c r="B331" s="5">
        <v>132.62</v>
      </c>
    </row>
    <row r="332" spans="1:2" ht="20.100000000000001" customHeight="1" thickBot="1" x14ac:dyDescent="0.3">
      <c r="A332" s="4">
        <v>1510</v>
      </c>
      <c r="B332" s="5">
        <v>130.57</v>
      </c>
    </row>
    <row r="333" spans="1:2" ht="20.100000000000001" customHeight="1" thickBot="1" x14ac:dyDescent="0.3">
      <c r="A333" s="4">
        <v>1520</v>
      </c>
      <c r="B333" s="5">
        <v>126.85</v>
      </c>
    </row>
    <row r="334" spans="1:2" ht="20.100000000000001" customHeight="1" thickBot="1" x14ac:dyDescent="0.3">
      <c r="A334" s="4">
        <v>1530</v>
      </c>
      <c r="B334" s="5">
        <v>147.68</v>
      </c>
    </row>
    <row r="335" spans="1:2" ht="20.100000000000001" customHeight="1" thickBot="1" x14ac:dyDescent="0.3">
      <c r="A335" s="4">
        <v>1540</v>
      </c>
      <c r="B335" s="5">
        <v>138.59</v>
      </c>
    </row>
    <row r="336" spans="1:2" ht="20.100000000000001" customHeight="1" thickBot="1" x14ac:dyDescent="0.3">
      <c r="A336" s="4">
        <v>1550</v>
      </c>
      <c r="B336" s="5">
        <v>139.93</v>
      </c>
    </row>
    <row r="337" spans="1:2" ht="20.100000000000001" customHeight="1" thickBot="1" x14ac:dyDescent="0.3">
      <c r="A337" s="4">
        <v>1560</v>
      </c>
      <c r="B337" s="5">
        <v>128.1</v>
      </c>
    </row>
    <row r="338" spans="1:2" ht="20.100000000000001" customHeight="1" thickBot="1" x14ac:dyDescent="0.3">
      <c r="A338" s="4">
        <v>1570</v>
      </c>
      <c r="B338" s="5">
        <v>125.34</v>
      </c>
    </row>
    <row r="339" spans="1:2" ht="20.100000000000001" customHeight="1" thickBot="1" x14ac:dyDescent="0.3">
      <c r="A339" s="4">
        <v>1580</v>
      </c>
      <c r="B339" s="5">
        <v>126.71</v>
      </c>
    </row>
    <row r="340" spans="1:2" ht="20.100000000000001" customHeight="1" thickBot="1" x14ac:dyDescent="0.3">
      <c r="A340" s="4">
        <v>1590</v>
      </c>
      <c r="B340" s="5">
        <v>128.59</v>
      </c>
    </row>
    <row r="341" spans="1:2" ht="20.100000000000001" customHeight="1" thickBot="1" x14ac:dyDescent="0.3">
      <c r="A341" s="4">
        <v>1600</v>
      </c>
      <c r="B341" s="5">
        <v>129.16</v>
      </c>
    </row>
    <row r="342" spans="1:2" ht="20.100000000000001" customHeight="1" thickBot="1" x14ac:dyDescent="0.3">
      <c r="A342" s="4">
        <v>1610</v>
      </c>
      <c r="B342" s="5">
        <v>129.99</v>
      </c>
    </row>
    <row r="343" spans="1:2" ht="20.100000000000001" customHeight="1" thickBot="1" x14ac:dyDescent="0.3">
      <c r="A343" s="4">
        <v>1620</v>
      </c>
      <c r="B343" s="5">
        <v>131.56</v>
      </c>
    </row>
    <row r="344" spans="1:2" ht="20.100000000000001" customHeight="1" thickBot="1" x14ac:dyDescent="0.3">
      <c r="A344" s="4">
        <v>1630</v>
      </c>
      <c r="B344" s="5">
        <v>128.16</v>
      </c>
    </row>
    <row r="345" spans="1:2" ht="20.100000000000001" customHeight="1" thickBot="1" x14ac:dyDescent="0.3">
      <c r="A345" s="4">
        <v>1640</v>
      </c>
      <c r="B345" s="5">
        <v>202.34</v>
      </c>
    </row>
    <row r="346" spans="1:2" ht="20.100000000000001" customHeight="1" thickBot="1" x14ac:dyDescent="0.3">
      <c r="A346" s="4">
        <v>1650</v>
      </c>
      <c r="B346" s="5">
        <v>156.06</v>
      </c>
    </row>
    <row r="347" spans="1:2" ht="20.100000000000001" customHeight="1" thickBot="1" x14ac:dyDescent="0.3">
      <c r="A347" s="4">
        <v>1660</v>
      </c>
      <c r="B347" s="5">
        <v>134.66</v>
      </c>
    </row>
    <row r="348" spans="1:2" ht="20.100000000000001" customHeight="1" thickBot="1" x14ac:dyDescent="0.3">
      <c r="A348" s="4">
        <v>1670</v>
      </c>
      <c r="B348" s="5">
        <v>148.46</v>
      </c>
    </row>
    <row r="349" spans="1:2" ht="20.100000000000001" customHeight="1" thickBot="1" x14ac:dyDescent="0.3">
      <c r="A349" s="4">
        <v>1680</v>
      </c>
      <c r="B349" s="5">
        <v>136.66999999999999</v>
      </c>
    </row>
    <row r="350" spans="1:2" ht="20.100000000000001" customHeight="1" thickBot="1" x14ac:dyDescent="0.3">
      <c r="A350" s="4">
        <v>1690</v>
      </c>
      <c r="B350" s="5">
        <v>132.62</v>
      </c>
    </row>
    <row r="351" spans="1:2" ht="20.100000000000001" customHeight="1" thickBot="1" x14ac:dyDescent="0.3">
      <c r="A351" s="4">
        <v>1700</v>
      </c>
      <c r="B351" s="5">
        <v>135.72</v>
      </c>
    </row>
    <row r="352" spans="1:2" ht="20.100000000000001" customHeight="1" thickBot="1" x14ac:dyDescent="0.3">
      <c r="A352" s="4">
        <v>1710</v>
      </c>
      <c r="B352" s="5">
        <v>137.18</v>
      </c>
    </row>
    <row r="353" spans="1:2" ht="20.100000000000001" customHeight="1" thickBot="1" x14ac:dyDescent="0.3">
      <c r="A353" s="4">
        <v>1720</v>
      </c>
      <c r="B353" s="5">
        <v>137.62</v>
      </c>
    </row>
    <row r="354" spans="1:2" ht="20.100000000000001" customHeight="1" thickBot="1" x14ac:dyDescent="0.3">
      <c r="A354" s="4">
        <v>1730</v>
      </c>
      <c r="B354" s="5">
        <v>139.07</v>
      </c>
    </row>
    <row r="355" spans="1:2" ht="20.100000000000001" customHeight="1" thickBot="1" x14ac:dyDescent="0.3">
      <c r="A355" s="4">
        <v>1740</v>
      </c>
      <c r="B355" s="5">
        <v>140.62</v>
      </c>
    </row>
    <row r="356" spans="1:2" ht="20.100000000000001" customHeight="1" thickBot="1" x14ac:dyDescent="0.3">
      <c r="A356" s="4">
        <v>1750</v>
      </c>
      <c r="B356" s="5">
        <v>140.09</v>
      </c>
    </row>
    <row r="357" spans="1:2" ht="20.100000000000001" customHeight="1" thickBot="1" x14ac:dyDescent="0.3">
      <c r="A357" s="4">
        <v>1760</v>
      </c>
      <c r="B357" s="5">
        <v>143.22</v>
      </c>
    </row>
    <row r="358" spans="1:2" ht="20.100000000000001" customHeight="1" thickBot="1" x14ac:dyDescent="0.3">
      <c r="A358" s="4">
        <v>1770</v>
      </c>
      <c r="B358" s="5">
        <v>150.03</v>
      </c>
    </row>
    <row r="359" spans="1:2" ht="20.100000000000001" customHeight="1" thickBot="1" x14ac:dyDescent="0.3">
      <c r="A359" s="4">
        <v>1780</v>
      </c>
      <c r="B359" s="5">
        <v>144.33000000000001</v>
      </c>
    </row>
    <row r="360" spans="1:2" ht="20.100000000000001" customHeight="1" thickBot="1" x14ac:dyDescent="0.3">
      <c r="A360" s="4">
        <v>1790</v>
      </c>
      <c r="B360" s="5">
        <v>144.38999999999999</v>
      </c>
    </row>
    <row r="361" spans="1:2" ht="20.100000000000001" customHeight="1" thickBot="1" x14ac:dyDescent="0.3">
      <c r="A361" s="4">
        <v>1800</v>
      </c>
      <c r="B361" s="5">
        <v>146.86000000000001</v>
      </c>
    </row>
    <row r="362" spans="1:2" ht="20.100000000000001" customHeight="1" thickBot="1" x14ac:dyDescent="0.3">
      <c r="A362" s="4">
        <v>1810</v>
      </c>
      <c r="B362" s="5">
        <v>144.87</v>
      </c>
    </row>
    <row r="363" spans="1:2" ht="20.100000000000001" customHeight="1" thickBot="1" x14ac:dyDescent="0.3">
      <c r="A363" s="4">
        <v>1820</v>
      </c>
      <c r="B363" s="5">
        <v>147.63</v>
      </c>
    </row>
    <row r="364" spans="1:2" ht="20.100000000000001" customHeight="1" thickBot="1" x14ac:dyDescent="0.3">
      <c r="A364" s="4">
        <v>1830</v>
      </c>
      <c r="B364" s="5">
        <v>146.86000000000001</v>
      </c>
    </row>
    <row r="365" spans="1:2" ht="20.100000000000001" customHeight="1" thickBot="1" x14ac:dyDescent="0.3">
      <c r="A365" s="4">
        <v>1840</v>
      </c>
      <c r="B365" s="5">
        <v>148.81</v>
      </c>
    </row>
    <row r="366" spans="1:2" ht="20.100000000000001" customHeight="1" thickBot="1" x14ac:dyDescent="0.3">
      <c r="A366" s="4">
        <v>1850</v>
      </c>
      <c r="B366" s="5">
        <v>148.83000000000001</v>
      </c>
    </row>
    <row r="367" spans="1:2" ht="20.100000000000001" customHeight="1" thickBot="1" x14ac:dyDescent="0.3">
      <c r="A367" s="4">
        <v>1860</v>
      </c>
      <c r="B367" s="5">
        <v>150.53</v>
      </c>
    </row>
    <row r="368" spans="1:2" ht="20.100000000000001" customHeight="1" thickBot="1" x14ac:dyDescent="0.3">
      <c r="A368" s="4">
        <v>1870</v>
      </c>
      <c r="B368" s="5">
        <v>149.44999999999999</v>
      </c>
    </row>
    <row r="369" spans="1:2" ht="20.100000000000001" customHeight="1" thickBot="1" x14ac:dyDescent="0.3">
      <c r="A369" s="4">
        <v>1880</v>
      </c>
      <c r="B369" s="5">
        <v>154.71</v>
      </c>
    </row>
    <row r="370" spans="1:2" ht="20.100000000000001" customHeight="1" thickBot="1" x14ac:dyDescent="0.3">
      <c r="A370" s="4">
        <v>1890</v>
      </c>
      <c r="B370" s="5">
        <v>158.30000000000001</v>
      </c>
    </row>
    <row r="371" spans="1:2" ht="20.100000000000001" customHeight="1" thickBot="1" x14ac:dyDescent="0.3">
      <c r="A371" s="4">
        <v>1900</v>
      </c>
      <c r="B371" s="5">
        <v>154.26</v>
      </c>
    </row>
    <row r="372" spans="1:2" ht="20.100000000000001" customHeight="1" thickBot="1" x14ac:dyDescent="0.3">
      <c r="A372" s="4">
        <v>1910</v>
      </c>
      <c r="B372" s="5">
        <v>164.02</v>
      </c>
    </row>
    <row r="373" spans="1:2" ht="20.100000000000001" customHeight="1" thickBot="1" x14ac:dyDescent="0.3">
      <c r="A373" s="4">
        <v>1920</v>
      </c>
      <c r="B373" s="5">
        <v>159.9</v>
      </c>
    </row>
    <row r="374" spans="1:2" ht="20.100000000000001" customHeight="1" thickBot="1" x14ac:dyDescent="0.3">
      <c r="A374" s="4">
        <v>1930</v>
      </c>
      <c r="B374" s="5">
        <v>156.78</v>
      </c>
    </row>
    <row r="375" spans="1:2" ht="20.100000000000001" customHeight="1" thickBot="1" x14ac:dyDescent="0.3">
      <c r="A375" s="4">
        <v>1940</v>
      </c>
      <c r="B375" s="5">
        <v>156.28</v>
      </c>
    </row>
    <row r="376" spans="1:2" ht="20.100000000000001" customHeight="1" thickBot="1" x14ac:dyDescent="0.3">
      <c r="A376" s="4">
        <v>1950</v>
      </c>
      <c r="B376" s="5">
        <v>158.55000000000001</v>
      </c>
    </row>
    <row r="377" spans="1:2" ht="20.100000000000001" customHeight="1" thickBot="1" x14ac:dyDescent="0.3">
      <c r="A377" s="4">
        <v>1960</v>
      </c>
      <c r="B377" s="5">
        <v>156.35</v>
      </c>
    </row>
    <row r="378" spans="1:2" ht="20.100000000000001" customHeight="1" thickBot="1" x14ac:dyDescent="0.3">
      <c r="A378" s="4">
        <v>1970</v>
      </c>
      <c r="B378" s="5">
        <v>159.18</v>
      </c>
    </row>
    <row r="379" spans="1:2" ht="20.100000000000001" customHeight="1" thickBot="1" x14ac:dyDescent="0.3">
      <c r="A379" s="4">
        <v>1980</v>
      </c>
      <c r="B379" s="5">
        <v>157.86000000000001</v>
      </c>
    </row>
    <row r="380" spans="1:2" ht="20.100000000000001" customHeight="1" thickBot="1" x14ac:dyDescent="0.3">
      <c r="A380" s="4">
        <v>1990</v>
      </c>
      <c r="B380" s="5">
        <v>158.15</v>
      </c>
    </row>
    <row r="381" spans="1:2" ht="20.100000000000001" customHeight="1" thickBot="1" x14ac:dyDescent="0.3">
      <c r="A381" s="4">
        <v>2000</v>
      </c>
      <c r="B381" s="5">
        <v>161.01</v>
      </c>
    </row>
    <row r="382" spans="1:2" ht="20.100000000000001" customHeight="1" thickBot="1" x14ac:dyDescent="0.3">
      <c r="A382" s="4">
        <v>2050</v>
      </c>
      <c r="B382" s="5">
        <v>166.46</v>
      </c>
    </row>
    <row r="383" spans="1:2" ht="20.100000000000001" customHeight="1" thickBot="1" x14ac:dyDescent="0.3">
      <c r="A383" s="4">
        <v>2100</v>
      </c>
      <c r="B383" s="5">
        <v>166.75</v>
      </c>
    </row>
    <row r="384" spans="1:2" ht="20.100000000000001" customHeight="1" thickBot="1" x14ac:dyDescent="0.3">
      <c r="A384" s="4">
        <v>2150</v>
      </c>
      <c r="B384" s="5">
        <v>169.82</v>
      </c>
    </row>
    <row r="385" spans="1:2" ht="20.100000000000001" customHeight="1" thickBot="1" x14ac:dyDescent="0.3">
      <c r="A385" s="4">
        <v>2200</v>
      </c>
      <c r="B385" s="5">
        <v>179.81</v>
      </c>
    </row>
    <row r="386" spans="1:2" ht="20.100000000000001" customHeight="1" thickBot="1" x14ac:dyDescent="0.3">
      <c r="A386" s="4">
        <v>2250</v>
      </c>
      <c r="B386" s="5">
        <v>180.43</v>
      </c>
    </row>
    <row r="387" spans="1:2" ht="20.100000000000001" customHeight="1" thickBot="1" x14ac:dyDescent="0.3">
      <c r="A387" s="4">
        <v>2300</v>
      </c>
      <c r="B387" s="5">
        <v>190.19</v>
      </c>
    </row>
    <row r="388" spans="1:2" ht="20.100000000000001" customHeight="1" thickBot="1" x14ac:dyDescent="0.3">
      <c r="A388" s="4">
        <v>2350</v>
      </c>
      <c r="B388" s="5">
        <v>194.17</v>
      </c>
    </row>
    <row r="389" spans="1:2" ht="20.100000000000001" customHeight="1" thickBot="1" x14ac:dyDescent="0.3">
      <c r="A389" s="4">
        <v>2400</v>
      </c>
      <c r="B389" s="5">
        <v>197.42</v>
      </c>
    </row>
    <row r="390" spans="1:2" ht="20.100000000000001" customHeight="1" thickBot="1" x14ac:dyDescent="0.3">
      <c r="A390" s="4">
        <v>2450</v>
      </c>
      <c r="B390" s="5">
        <v>196.99</v>
      </c>
    </row>
    <row r="391" spans="1:2" ht="20.100000000000001" customHeight="1" thickBot="1" x14ac:dyDescent="0.3">
      <c r="A391" s="4">
        <v>2500</v>
      </c>
      <c r="B391" s="5">
        <v>207.14</v>
      </c>
    </row>
    <row r="392" spans="1:2" ht="20.100000000000001" customHeight="1" thickBot="1" x14ac:dyDescent="0.3">
      <c r="A392" s="4">
        <v>2550</v>
      </c>
      <c r="B392" s="5">
        <v>209.66</v>
      </c>
    </row>
    <row r="393" spans="1:2" ht="20.100000000000001" customHeight="1" thickBot="1" x14ac:dyDescent="0.3">
      <c r="A393" s="4">
        <v>2600</v>
      </c>
      <c r="B393" s="5">
        <v>211.81</v>
      </c>
    </row>
    <row r="394" spans="1:2" ht="20.100000000000001" customHeight="1" thickBot="1" x14ac:dyDescent="0.3">
      <c r="A394" s="4">
        <v>2650</v>
      </c>
      <c r="B394" s="5">
        <v>211.58</v>
      </c>
    </row>
    <row r="395" spans="1:2" ht="20.100000000000001" customHeight="1" thickBot="1" x14ac:dyDescent="0.3">
      <c r="A395" s="4">
        <v>2700</v>
      </c>
      <c r="B395" s="5">
        <v>319.58999999999997</v>
      </c>
    </row>
    <row r="396" spans="1:2" ht="20.100000000000001" customHeight="1" thickBot="1" x14ac:dyDescent="0.3">
      <c r="A396" s="4">
        <v>2750</v>
      </c>
      <c r="B396" s="5">
        <v>238.37</v>
      </c>
    </row>
    <row r="397" spans="1:2" ht="20.100000000000001" customHeight="1" thickBot="1" x14ac:dyDescent="0.3">
      <c r="A397" s="4">
        <v>2800</v>
      </c>
      <c r="B397" s="5">
        <v>228.3</v>
      </c>
    </row>
    <row r="398" spans="1:2" ht="20.100000000000001" customHeight="1" thickBot="1" x14ac:dyDescent="0.3">
      <c r="A398" s="4">
        <v>2850</v>
      </c>
      <c r="B398" s="5">
        <v>239.22</v>
      </c>
    </row>
    <row r="399" spans="1:2" ht="20.100000000000001" customHeight="1" thickBot="1" x14ac:dyDescent="0.3">
      <c r="A399" s="4">
        <v>2900</v>
      </c>
      <c r="B399" s="5">
        <v>235.57</v>
      </c>
    </row>
    <row r="400" spans="1:2" ht="20.100000000000001" customHeight="1" thickBot="1" x14ac:dyDescent="0.3">
      <c r="A400" s="4">
        <v>2950</v>
      </c>
      <c r="B400" s="5">
        <v>241.08</v>
      </c>
    </row>
    <row r="401" spans="1:2" ht="20.100000000000001" customHeight="1" thickBot="1" x14ac:dyDescent="0.3">
      <c r="A401" s="4">
        <v>3000</v>
      </c>
      <c r="B401" s="5">
        <v>247.41</v>
      </c>
    </row>
    <row r="402" spans="1:2" ht="20.100000000000001" customHeight="1" thickBot="1" x14ac:dyDescent="0.3">
      <c r="A402" s="4">
        <v>3250</v>
      </c>
      <c r="B402" s="5">
        <v>266.76</v>
      </c>
    </row>
    <row r="403" spans="1:2" ht="20.100000000000001" customHeight="1" thickBot="1" x14ac:dyDescent="0.3">
      <c r="A403" s="4">
        <v>3500</v>
      </c>
      <c r="B403" s="5">
        <v>286.77</v>
      </c>
    </row>
    <row r="404" spans="1:2" ht="20.100000000000001" customHeight="1" thickBot="1" x14ac:dyDescent="0.3">
      <c r="A404" s="4">
        <v>3750</v>
      </c>
      <c r="B404" s="5">
        <v>310.88</v>
      </c>
    </row>
    <row r="405" spans="1:2" ht="20.100000000000001" customHeight="1" x14ac:dyDescent="0.25">
      <c r="A405" s="10">
        <v>4000</v>
      </c>
      <c r="B405" s="11">
        <v>331</v>
      </c>
    </row>
  </sheetData>
  <mergeCells count="4">
    <mergeCell ref="D2:E2"/>
    <mergeCell ref="G2:H2"/>
    <mergeCell ref="D27:E27"/>
    <mergeCell ref="D22:E22"/>
  </mergeCells>
  <conditionalFormatting sqref="B2:B405">
    <cfRule type="cellIs" dxfId="0" priority="1" operator="notBetween">
      <formula>$E$28</formula>
      <formula>$E$29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9598E-69BE-444A-AC87-AF4A0239F80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F28812-D932-4F23-B522-CFA5236B70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Windsor Alexander Estrada Lara</dc:creator>
  <cp:lastModifiedBy>Windsor Alexander Estrada Lara</cp:lastModifiedBy>
  <dcterms:created xsi:type="dcterms:W3CDTF">2025-11-15T18:21:57Z</dcterms:created>
  <dcterms:modified xsi:type="dcterms:W3CDTF">2025-11-16T04:36:45Z</dcterms:modified>
</cp:coreProperties>
</file>